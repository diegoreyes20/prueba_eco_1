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ECO publica\shiny\"/>
    </mc:Choice>
  </mc:AlternateContent>
  <xr:revisionPtr revIDLastSave="0" documentId="8_{02B6F52E-6B70-4A03-92B0-EDEDAA47ECF4}" xr6:coauthVersionLast="47" xr6:coauthVersionMax="47" xr10:uidLastSave="{00000000-0000-0000-0000-000000000000}"/>
  <bookViews>
    <workbookView xWindow="-120" yWindow="-120" windowWidth="29040" windowHeight="15720" xr2:uid="{7C07B935-4AB3-4C7F-8C17-771468697ECE}"/>
  </bookViews>
  <sheets>
    <sheet name="Hoja1" sheetId="1" r:id="rId1"/>
  </sheets>
  <definedNames>
    <definedName name="_xlnm._FilterDatabase" localSheetId="0" hidden="1">Hoja1!$A$1:$U$133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P24" i="1" s="1"/>
  <c r="D25" i="1"/>
  <c r="P25" i="1" s="1"/>
  <c r="D26" i="1"/>
  <c r="P26" i="1" s="1"/>
  <c r="D27" i="1"/>
  <c r="P27" i="1" s="1"/>
  <c r="D28" i="1"/>
  <c r="P28" i="1" s="1"/>
  <c r="D29" i="1"/>
  <c r="P29" i="1" s="1"/>
  <c r="D30" i="1"/>
  <c r="P30" i="1" s="1"/>
  <c r="D31" i="1"/>
  <c r="P31" i="1" s="1"/>
  <c r="D32" i="1"/>
  <c r="P32" i="1" s="1"/>
  <c r="D33" i="1"/>
  <c r="P33" i="1" s="1"/>
  <c r="D34" i="1"/>
  <c r="P34" i="1" s="1"/>
  <c r="D35" i="1"/>
  <c r="P35" i="1" s="1"/>
  <c r="D36" i="1"/>
  <c r="P36" i="1" s="1"/>
  <c r="D37" i="1"/>
  <c r="P37" i="1" s="1"/>
  <c r="D38" i="1"/>
  <c r="P38" i="1" s="1"/>
  <c r="D39" i="1"/>
  <c r="P39" i="1" s="1"/>
  <c r="D40" i="1"/>
  <c r="P40" i="1" s="1"/>
  <c r="D41" i="1"/>
  <c r="P41" i="1" s="1"/>
  <c r="D42" i="1"/>
  <c r="P42" i="1" s="1"/>
  <c r="D43" i="1"/>
  <c r="P43" i="1" s="1"/>
  <c r="D44" i="1"/>
  <c r="P44" i="1" s="1"/>
  <c r="D45" i="1"/>
  <c r="P45" i="1" s="1"/>
  <c r="D46" i="1"/>
  <c r="P46" i="1" s="1"/>
  <c r="D47" i="1"/>
  <c r="P47" i="1" s="1"/>
  <c r="D48" i="1"/>
  <c r="P48" i="1" s="1"/>
  <c r="D49" i="1"/>
  <c r="P49" i="1" s="1"/>
  <c r="D50" i="1"/>
  <c r="P50" i="1" s="1"/>
  <c r="D51" i="1"/>
  <c r="P51" i="1" s="1"/>
  <c r="D52" i="1"/>
  <c r="P52" i="1" s="1"/>
  <c r="D53" i="1"/>
  <c r="P53" i="1" s="1"/>
  <c r="D54" i="1"/>
  <c r="P54" i="1" s="1"/>
  <c r="D55" i="1"/>
  <c r="P55" i="1" s="1"/>
  <c r="D56" i="1"/>
  <c r="P56" i="1" s="1"/>
  <c r="D57" i="1"/>
  <c r="P57" i="1" s="1"/>
  <c r="D58" i="1"/>
  <c r="P58" i="1" s="1"/>
  <c r="D59" i="1"/>
  <c r="P59" i="1" s="1"/>
  <c r="D60" i="1"/>
  <c r="P60" i="1" s="1"/>
  <c r="D61" i="1"/>
  <c r="P61" i="1" s="1"/>
  <c r="D62" i="1"/>
  <c r="P62" i="1" s="1"/>
  <c r="D63" i="1"/>
  <c r="P63" i="1" s="1"/>
  <c r="D64" i="1"/>
  <c r="P64" i="1" s="1"/>
  <c r="D65" i="1"/>
  <c r="P65" i="1" s="1"/>
  <c r="D66" i="1"/>
  <c r="P66" i="1" s="1"/>
  <c r="D67" i="1"/>
  <c r="P67" i="1" s="1"/>
  <c r="D68" i="1"/>
  <c r="P68" i="1" s="1"/>
  <c r="D69" i="1"/>
  <c r="P69" i="1" s="1"/>
  <c r="D70" i="1"/>
  <c r="P70" i="1" s="1"/>
  <c r="D71" i="1"/>
  <c r="P71" i="1" s="1"/>
  <c r="D72" i="1"/>
  <c r="P72" i="1" s="1"/>
  <c r="D73" i="1"/>
  <c r="P73" i="1" s="1"/>
  <c r="D74" i="1"/>
  <c r="P74" i="1" s="1"/>
  <c r="D75" i="1"/>
  <c r="P75" i="1" s="1"/>
  <c r="D76" i="1"/>
  <c r="P76" i="1" s="1"/>
  <c r="D77" i="1"/>
  <c r="P77" i="1" s="1"/>
  <c r="D78" i="1"/>
  <c r="P78" i="1" s="1"/>
  <c r="D79" i="1"/>
  <c r="P79" i="1" s="1"/>
  <c r="D80" i="1"/>
  <c r="P80" i="1" s="1"/>
  <c r="D81" i="1"/>
  <c r="P81" i="1" s="1"/>
  <c r="D82" i="1"/>
  <c r="P82" i="1" s="1"/>
  <c r="D83" i="1"/>
  <c r="P83" i="1" s="1"/>
  <c r="D84" i="1"/>
  <c r="P84" i="1" s="1"/>
  <c r="D85" i="1"/>
  <c r="P85" i="1" s="1"/>
  <c r="D86" i="1"/>
  <c r="P86" i="1" s="1"/>
  <c r="D87" i="1"/>
  <c r="P87" i="1" s="1"/>
  <c r="D88" i="1"/>
  <c r="P88" i="1" s="1"/>
  <c r="D89" i="1"/>
  <c r="P89" i="1" s="1"/>
  <c r="D90" i="1"/>
  <c r="P90" i="1" s="1"/>
  <c r="D91" i="1"/>
  <c r="P91" i="1" s="1"/>
  <c r="D92" i="1"/>
  <c r="P92" i="1" s="1"/>
  <c r="D93" i="1"/>
  <c r="P93" i="1" s="1"/>
  <c r="D94" i="1"/>
  <c r="P94" i="1" s="1"/>
  <c r="D95" i="1"/>
  <c r="P95" i="1" s="1"/>
  <c r="D96" i="1"/>
  <c r="P96" i="1" s="1"/>
  <c r="D97" i="1"/>
  <c r="P97" i="1" s="1"/>
  <c r="D98" i="1"/>
  <c r="P98" i="1" s="1"/>
  <c r="D99" i="1"/>
  <c r="P99" i="1" s="1"/>
  <c r="D100" i="1"/>
  <c r="P100" i="1" s="1"/>
  <c r="D101" i="1"/>
  <c r="P101" i="1" s="1"/>
  <c r="D102" i="1"/>
  <c r="P102" i="1" s="1"/>
  <c r="D103" i="1"/>
  <c r="P103" i="1" s="1"/>
  <c r="D104" i="1"/>
  <c r="P104" i="1" s="1"/>
  <c r="D105" i="1"/>
  <c r="P105" i="1" s="1"/>
  <c r="D106" i="1"/>
  <c r="P106" i="1" s="1"/>
  <c r="D107" i="1"/>
  <c r="P107" i="1" s="1"/>
  <c r="D108" i="1"/>
  <c r="P108" i="1" s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2" i="1"/>
  <c r="P13" i="1"/>
  <c r="P14" i="1"/>
  <c r="P15" i="1"/>
  <c r="P16" i="1"/>
  <c r="P17" i="1"/>
  <c r="P18" i="1"/>
  <c r="P19" i="1"/>
  <c r="P20" i="1"/>
  <c r="P21" i="1"/>
  <c r="P22" i="1"/>
  <c r="P23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J12" i="1"/>
  <c r="J13" i="1"/>
  <c r="N13" i="1" s="1"/>
  <c r="J14" i="1"/>
  <c r="N14" i="1" s="1"/>
  <c r="J15" i="1"/>
  <c r="J16" i="1"/>
  <c r="J17" i="1"/>
  <c r="N17" i="1" s="1"/>
  <c r="J18" i="1"/>
  <c r="N18" i="1" s="1"/>
  <c r="J19" i="1"/>
  <c r="N19" i="1" s="1"/>
  <c r="J20" i="1"/>
  <c r="N20" i="1" s="1"/>
  <c r="J21" i="1"/>
  <c r="N21" i="1" s="1"/>
  <c r="J22" i="1"/>
  <c r="N22" i="1" s="1"/>
  <c r="J23" i="1"/>
  <c r="N23" i="1" s="1"/>
  <c r="J24" i="1"/>
  <c r="J25" i="1"/>
  <c r="N25" i="1" s="1"/>
  <c r="J26" i="1"/>
  <c r="N26" i="1" s="1"/>
  <c r="J27" i="1"/>
  <c r="J28" i="1"/>
  <c r="N28" i="1" s="1"/>
  <c r="J29" i="1"/>
  <c r="N29" i="1" s="1"/>
  <c r="J30" i="1"/>
  <c r="N30" i="1" s="1"/>
  <c r="J31" i="1"/>
  <c r="N31" i="1" s="1"/>
  <c r="J32" i="1"/>
  <c r="N32" i="1" s="1"/>
  <c r="J33" i="1"/>
  <c r="N33" i="1" s="1"/>
  <c r="J34" i="1"/>
  <c r="N34" i="1" s="1"/>
  <c r="J35" i="1"/>
  <c r="N35" i="1" s="1"/>
  <c r="J36" i="1"/>
  <c r="N36" i="1" s="1"/>
  <c r="J37" i="1"/>
  <c r="N37" i="1" s="1"/>
  <c r="J38" i="1"/>
  <c r="N38" i="1" s="1"/>
  <c r="J39" i="1"/>
  <c r="N39" i="1" s="1"/>
  <c r="J40" i="1"/>
  <c r="N40" i="1" s="1"/>
  <c r="J41" i="1"/>
  <c r="N41" i="1" s="1"/>
  <c r="J42" i="1"/>
  <c r="N42" i="1" s="1"/>
  <c r="J43" i="1"/>
  <c r="N43" i="1" s="1"/>
  <c r="J44" i="1"/>
  <c r="N44" i="1" s="1"/>
  <c r="J45" i="1"/>
  <c r="N45" i="1" s="1"/>
  <c r="J46" i="1"/>
  <c r="N46" i="1" s="1"/>
  <c r="J47" i="1"/>
  <c r="N47" i="1" s="1"/>
  <c r="J48" i="1"/>
  <c r="N48" i="1" s="1"/>
  <c r="J49" i="1"/>
  <c r="N49" i="1" s="1"/>
  <c r="J50" i="1"/>
  <c r="N50" i="1" s="1"/>
  <c r="J51" i="1"/>
  <c r="N51" i="1" s="1"/>
  <c r="J52" i="1"/>
  <c r="N52" i="1" s="1"/>
  <c r="J53" i="1"/>
  <c r="N53" i="1" s="1"/>
  <c r="J54" i="1"/>
  <c r="N54" i="1" s="1"/>
  <c r="J55" i="1"/>
  <c r="N55" i="1" s="1"/>
  <c r="J56" i="1"/>
  <c r="N56" i="1" s="1"/>
  <c r="J57" i="1"/>
  <c r="N57" i="1" s="1"/>
  <c r="J58" i="1"/>
  <c r="N58" i="1" s="1"/>
  <c r="J59" i="1"/>
  <c r="N59" i="1" s="1"/>
  <c r="J60" i="1"/>
  <c r="N60" i="1" s="1"/>
  <c r="J61" i="1"/>
  <c r="N61" i="1" s="1"/>
  <c r="J62" i="1"/>
  <c r="N62" i="1" s="1"/>
  <c r="J63" i="1"/>
  <c r="N63" i="1" s="1"/>
  <c r="J64" i="1"/>
  <c r="N64" i="1" s="1"/>
  <c r="J65" i="1"/>
  <c r="N65" i="1" s="1"/>
  <c r="J66" i="1"/>
  <c r="N66" i="1" s="1"/>
  <c r="J67" i="1"/>
  <c r="N67" i="1" s="1"/>
  <c r="J68" i="1"/>
  <c r="N68" i="1" s="1"/>
  <c r="J69" i="1"/>
  <c r="N69" i="1" s="1"/>
  <c r="J70" i="1"/>
  <c r="N70" i="1" s="1"/>
  <c r="J71" i="1"/>
  <c r="N71" i="1" s="1"/>
  <c r="J72" i="1"/>
  <c r="N72" i="1" s="1"/>
  <c r="J73" i="1"/>
  <c r="N73" i="1" s="1"/>
  <c r="J74" i="1"/>
  <c r="N74" i="1" s="1"/>
  <c r="J75" i="1"/>
  <c r="N75" i="1" s="1"/>
  <c r="J76" i="1"/>
  <c r="N76" i="1" s="1"/>
  <c r="J77" i="1"/>
  <c r="N77" i="1" s="1"/>
  <c r="J78" i="1"/>
  <c r="N78" i="1" s="1"/>
  <c r="J79" i="1"/>
  <c r="N79" i="1" s="1"/>
  <c r="J80" i="1"/>
  <c r="N80" i="1" s="1"/>
  <c r="J81" i="1"/>
  <c r="N81" i="1" s="1"/>
  <c r="J82" i="1"/>
  <c r="N82" i="1" s="1"/>
  <c r="J83" i="1"/>
  <c r="N83" i="1" s="1"/>
  <c r="J84" i="1"/>
  <c r="N84" i="1" s="1"/>
  <c r="J85" i="1"/>
  <c r="N85" i="1" s="1"/>
  <c r="J86" i="1"/>
  <c r="N86" i="1" s="1"/>
  <c r="J87" i="1"/>
  <c r="N87" i="1" s="1"/>
  <c r="J88" i="1"/>
  <c r="N88" i="1" s="1"/>
  <c r="J89" i="1"/>
  <c r="N89" i="1" s="1"/>
  <c r="J90" i="1"/>
  <c r="N90" i="1" s="1"/>
  <c r="J91" i="1"/>
  <c r="N91" i="1" s="1"/>
  <c r="J92" i="1"/>
  <c r="N92" i="1" s="1"/>
  <c r="J93" i="1"/>
  <c r="N93" i="1" s="1"/>
  <c r="J94" i="1"/>
  <c r="N94" i="1" s="1"/>
  <c r="J95" i="1"/>
  <c r="N95" i="1" s="1"/>
  <c r="J96" i="1"/>
  <c r="N96" i="1" s="1"/>
  <c r="J97" i="1"/>
  <c r="N97" i="1" s="1"/>
  <c r="J98" i="1"/>
  <c r="N98" i="1" s="1"/>
  <c r="J99" i="1"/>
  <c r="N99" i="1" s="1"/>
  <c r="J100" i="1"/>
  <c r="N100" i="1" s="1"/>
  <c r="J101" i="1"/>
  <c r="N101" i="1" s="1"/>
  <c r="J102" i="1"/>
  <c r="N102" i="1" s="1"/>
  <c r="J103" i="1"/>
  <c r="N103" i="1" s="1"/>
  <c r="J104" i="1"/>
  <c r="N104" i="1" s="1"/>
  <c r="J105" i="1"/>
  <c r="N105" i="1" s="1"/>
  <c r="J106" i="1"/>
  <c r="N106" i="1" s="1"/>
  <c r="J107" i="1"/>
  <c r="N107" i="1" s="1"/>
  <c r="J108" i="1"/>
  <c r="N108" i="1" s="1"/>
  <c r="J109" i="1"/>
  <c r="N109" i="1" s="1"/>
  <c r="J110" i="1"/>
  <c r="N110" i="1" s="1"/>
  <c r="J111" i="1"/>
  <c r="N111" i="1" s="1"/>
  <c r="J112" i="1"/>
  <c r="N112" i="1" s="1"/>
  <c r="J113" i="1"/>
  <c r="N113" i="1" s="1"/>
  <c r="J114" i="1"/>
  <c r="N114" i="1" s="1"/>
  <c r="J115" i="1"/>
  <c r="N115" i="1" s="1"/>
  <c r="J116" i="1"/>
  <c r="N116" i="1" s="1"/>
  <c r="J117" i="1"/>
  <c r="J118" i="1"/>
  <c r="J119" i="1"/>
  <c r="J120" i="1"/>
  <c r="N120" i="1" s="1"/>
  <c r="J121" i="1"/>
  <c r="J122" i="1"/>
  <c r="L13" i="1"/>
  <c r="L14" i="1"/>
  <c r="L15" i="1"/>
  <c r="N15" i="1" s="1"/>
  <c r="L16" i="1"/>
  <c r="N16" i="1" s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N121" i="1"/>
  <c r="N12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G133" i="1"/>
  <c r="G132" i="1"/>
  <c r="G131" i="1"/>
  <c r="G130" i="1"/>
  <c r="G129" i="1"/>
  <c r="G128" i="1"/>
  <c r="G127" i="1"/>
  <c r="G126" i="1"/>
  <c r="G125" i="1"/>
  <c r="G124" i="1"/>
  <c r="G123" i="1"/>
  <c r="G12" i="1"/>
  <c r="G11" i="1"/>
  <c r="G10" i="1"/>
  <c r="G9" i="1"/>
  <c r="G8" i="1"/>
  <c r="G7" i="1"/>
  <c r="G6" i="1"/>
  <c r="G5" i="1"/>
  <c r="G4" i="1"/>
  <c r="G3" i="1"/>
  <c r="G2" i="1"/>
  <c r="E133" i="1"/>
  <c r="E132" i="1"/>
  <c r="E131" i="1"/>
  <c r="E130" i="1"/>
  <c r="E129" i="1"/>
  <c r="E128" i="1"/>
  <c r="E127" i="1"/>
  <c r="E126" i="1"/>
  <c r="E125" i="1"/>
  <c r="E124" i="1"/>
  <c r="E123" i="1"/>
  <c r="E12" i="1"/>
  <c r="E11" i="1"/>
  <c r="E10" i="1"/>
  <c r="E9" i="1"/>
  <c r="E8" i="1"/>
  <c r="E7" i="1"/>
  <c r="E6" i="1"/>
  <c r="E5" i="1"/>
  <c r="E4" i="1"/>
  <c r="E3" i="1"/>
  <c r="E2" i="1"/>
  <c r="Q3" i="1"/>
  <c r="Q4" i="1"/>
  <c r="Q5" i="1"/>
  <c r="Q6" i="1"/>
  <c r="Q7" i="1"/>
  <c r="Q8" i="1"/>
  <c r="Q9" i="1"/>
  <c r="Q10" i="1"/>
  <c r="Q11" i="1"/>
  <c r="Q12" i="1"/>
  <c r="Q13" i="1"/>
  <c r="O13" i="1" s="1"/>
  <c r="Q14" i="1"/>
  <c r="O14" i="1" s="1"/>
  <c r="Q15" i="1"/>
  <c r="O15" i="1" s="1"/>
  <c r="Q16" i="1"/>
  <c r="O16" i="1" s="1"/>
  <c r="Q17" i="1"/>
  <c r="O17" i="1" s="1"/>
  <c r="Q18" i="1"/>
  <c r="O18" i="1" s="1"/>
  <c r="Q19" i="1"/>
  <c r="O19" i="1" s="1"/>
  <c r="Q20" i="1"/>
  <c r="O20" i="1" s="1"/>
  <c r="Q21" i="1"/>
  <c r="O21" i="1" s="1"/>
  <c r="Q22" i="1"/>
  <c r="O22" i="1" s="1"/>
  <c r="Q23" i="1"/>
  <c r="O23" i="1" s="1"/>
  <c r="Q24" i="1"/>
  <c r="O24" i="1" s="1"/>
  <c r="Q25" i="1"/>
  <c r="O25" i="1" s="1"/>
  <c r="Q26" i="1"/>
  <c r="O26" i="1" s="1"/>
  <c r="Q27" i="1"/>
  <c r="O27" i="1" s="1"/>
  <c r="Q28" i="1"/>
  <c r="O28" i="1" s="1"/>
  <c r="Q29" i="1"/>
  <c r="O29" i="1" s="1"/>
  <c r="Q30" i="1"/>
  <c r="O30" i="1" s="1"/>
  <c r="Q31" i="1"/>
  <c r="O31" i="1" s="1"/>
  <c r="Q32" i="1"/>
  <c r="O32" i="1" s="1"/>
  <c r="Q33" i="1"/>
  <c r="O33" i="1" s="1"/>
  <c r="Q34" i="1"/>
  <c r="O34" i="1" s="1"/>
  <c r="Q35" i="1"/>
  <c r="O35" i="1" s="1"/>
  <c r="Q36" i="1"/>
  <c r="O36" i="1" s="1"/>
  <c r="Q37" i="1"/>
  <c r="O37" i="1" s="1"/>
  <c r="Q38" i="1"/>
  <c r="O38" i="1" s="1"/>
  <c r="Q39" i="1"/>
  <c r="O39" i="1" s="1"/>
  <c r="Q40" i="1"/>
  <c r="O40" i="1" s="1"/>
  <c r="Q41" i="1"/>
  <c r="O41" i="1" s="1"/>
  <c r="Q42" i="1"/>
  <c r="O42" i="1" s="1"/>
  <c r="Q43" i="1"/>
  <c r="O43" i="1" s="1"/>
  <c r="Q44" i="1"/>
  <c r="O44" i="1" s="1"/>
  <c r="Q45" i="1"/>
  <c r="O45" i="1" s="1"/>
  <c r="Q46" i="1"/>
  <c r="O46" i="1" s="1"/>
  <c r="Q47" i="1"/>
  <c r="O47" i="1" s="1"/>
  <c r="Q48" i="1"/>
  <c r="O48" i="1" s="1"/>
  <c r="Q49" i="1"/>
  <c r="O49" i="1" s="1"/>
  <c r="Q50" i="1"/>
  <c r="O50" i="1" s="1"/>
  <c r="Q51" i="1"/>
  <c r="O51" i="1" s="1"/>
  <c r="Q52" i="1"/>
  <c r="O52" i="1" s="1"/>
  <c r="Q53" i="1"/>
  <c r="O53" i="1" s="1"/>
  <c r="Q54" i="1"/>
  <c r="O54" i="1" s="1"/>
  <c r="Q55" i="1"/>
  <c r="O55" i="1" s="1"/>
  <c r="Q56" i="1"/>
  <c r="O56" i="1" s="1"/>
  <c r="Q57" i="1"/>
  <c r="O57" i="1" s="1"/>
  <c r="Q58" i="1"/>
  <c r="O58" i="1" s="1"/>
  <c r="Q59" i="1"/>
  <c r="O59" i="1" s="1"/>
  <c r="Q60" i="1"/>
  <c r="O60" i="1" s="1"/>
  <c r="Q61" i="1"/>
  <c r="O61" i="1" s="1"/>
  <c r="Q62" i="1"/>
  <c r="O62" i="1" s="1"/>
  <c r="Q63" i="1"/>
  <c r="O63" i="1" s="1"/>
  <c r="Q64" i="1"/>
  <c r="O64" i="1" s="1"/>
  <c r="Q65" i="1"/>
  <c r="O65" i="1" s="1"/>
  <c r="Q66" i="1"/>
  <c r="O66" i="1" s="1"/>
  <c r="Q67" i="1"/>
  <c r="O67" i="1" s="1"/>
  <c r="Q68" i="1"/>
  <c r="O68" i="1" s="1"/>
  <c r="Q69" i="1"/>
  <c r="O69" i="1" s="1"/>
  <c r="Q70" i="1"/>
  <c r="O70" i="1" s="1"/>
  <c r="Q71" i="1"/>
  <c r="O71" i="1" s="1"/>
  <c r="Q72" i="1"/>
  <c r="O72" i="1" s="1"/>
  <c r="Q73" i="1"/>
  <c r="O73" i="1" s="1"/>
  <c r="Q74" i="1"/>
  <c r="O74" i="1" s="1"/>
  <c r="Q75" i="1"/>
  <c r="O75" i="1" s="1"/>
  <c r="Q76" i="1"/>
  <c r="O76" i="1" s="1"/>
  <c r="Q77" i="1"/>
  <c r="O77" i="1" s="1"/>
  <c r="Q78" i="1"/>
  <c r="O78" i="1" s="1"/>
  <c r="Q79" i="1"/>
  <c r="O79" i="1" s="1"/>
  <c r="Q80" i="1"/>
  <c r="O80" i="1" s="1"/>
  <c r="Q81" i="1"/>
  <c r="O81" i="1" s="1"/>
  <c r="Q82" i="1"/>
  <c r="O82" i="1" s="1"/>
  <c r="Q83" i="1"/>
  <c r="O83" i="1" s="1"/>
  <c r="Q84" i="1"/>
  <c r="O84" i="1" s="1"/>
  <c r="Q85" i="1"/>
  <c r="O85" i="1" s="1"/>
  <c r="Q86" i="1"/>
  <c r="O86" i="1" s="1"/>
  <c r="Q87" i="1"/>
  <c r="O87" i="1" s="1"/>
  <c r="Q88" i="1"/>
  <c r="O88" i="1" s="1"/>
  <c r="Q89" i="1"/>
  <c r="O89" i="1" s="1"/>
  <c r="Q90" i="1"/>
  <c r="O90" i="1" s="1"/>
  <c r="Q91" i="1"/>
  <c r="O91" i="1" s="1"/>
  <c r="Q92" i="1"/>
  <c r="O92" i="1" s="1"/>
  <c r="Q93" i="1"/>
  <c r="O93" i="1" s="1"/>
  <c r="Q94" i="1"/>
  <c r="O94" i="1" s="1"/>
  <c r="Q95" i="1"/>
  <c r="O95" i="1" s="1"/>
  <c r="Q96" i="1"/>
  <c r="O96" i="1" s="1"/>
  <c r="Q97" i="1"/>
  <c r="O97" i="1" s="1"/>
  <c r="Q98" i="1"/>
  <c r="O98" i="1" s="1"/>
  <c r="Q99" i="1"/>
  <c r="O99" i="1" s="1"/>
  <c r="Q100" i="1"/>
  <c r="O100" i="1" s="1"/>
  <c r="Q101" i="1"/>
  <c r="O101" i="1" s="1"/>
  <c r="Q102" i="1"/>
  <c r="O102" i="1" s="1"/>
  <c r="Q103" i="1"/>
  <c r="O103" i="1" s="1"/>
  <c r="Q104" i="1"/>
  <c r="O104" i="1" s="1"/>
  <c r="Q105" i="1"/>
  <c r="O105" i="1" s="1"/>
  <c r="Q106" i="1"/>
  <c r="O106" i="1" s="1"/>
  <c r="Q107" i="1"/>
  <c r="O107" i="1" s="1"/>
  <c r="Q108" i="1"/>
  <c r="O108" i="1" s="1"/>
  <c r="Q109" i="1"/>
  <c r="O109" i="1" s="1"/>
  <c r="Q110" i="1"/>
  <c r="O110" i="1" s="1"/>
  <c r="Q111" i="1"/>
  <c r="O111" i="1" s="1"/>
  <c r="Q112" i="1"/>
  <c r="O112" i="1" s="1"/>
  <c r="Q113" i="1"/>
  <c r="O113" i="1" s="1"/>
  <c r="Q114" i="1"/>
  <c r="O114" i="1" s="1"/>
  <c r="Q115" i="1"/>
  <c r="O115" i="1" s="1"/>
  <c r="Q116" i="1"/>
  <c r="O116" i="1" s="1"/>
  <c r="Q117" i="1"/>
  <c r="O117" i="1" s="1"/>
  <c r="Q118" i="1"/>
  <c r="O118" i="1" s="1"/>
  <c r="Q119" i="1"/>
  <c r="O119" i="1" s="1"/>
  <c r="Q120" i="1"/>
  <c r="O120" i="1" s="1"/>
  <c r="Q121" i="1"/>
  <c r="O121" i="1" s="1"/>
  <c r="Q122" i="1"/>
  <c r="O122" i="1" s="1"/>
  <c r="Q123" i="1"/>
  <c r="Q124" i="1"/>
  <c r="Q125" i="1"/>
  <c r="Q126" i="1"/>
  <c r="Q127" i="1"/>
  <c r="Q128" i="1"/>
  <c r="Q129" i="1"/>
  <c r="Q130" i="1"/>
  <c r="Q131" i="1"/>
  <c r="Q132" i="1"/>
  <c r="Q133" i="1"/>
  <c r="Q2" i="1"/>
  <c r="S23" i="1"/>
  <c r="I133" i="1"/>
  <c r="I122" i="1"/>
  <c r="K122" i="1" s="1"/>
  <c r="M122" i="1" s="1"/>
  <c r="I111" i="1"/>
  <c r="K111" i="1" s="1"/>
  <c r="M111" i="1" s="1"/>
  <c r="I100" i="1"/>
  <c r="K100" i="1" s="1"/>
  <c r="M100" i="1" s="1"/>
  <c r="I89" i="1"/>
  <c r="K89" i="1" s="1"/>
  <c r="M89" i="1" s="1"/>
  <c r="I78" i="1"/>
  <c r="K78" i="1" s="1"/>
  <c r="M78" i="1" s="1"/>
  <c r="I67" i="1"/>
  <c r="K67" i="1" s="1"/>
  <c r="M67" i="1" s="1"/>
  <c r="I56" i="1"/>
  <c r="K56" i="1" s="1"/>
  <c r="M56" i="1" s="1"/>
  <c r="I45" i="1"/>
  <c r="K45" i="1" s="1"/>
  <c r="M45" i="1" s="1"/>
  <c r="I34" i="1"/>
  <c r="K34" i="1" s="1"/>
  <c r="M34" i="1" s="1"/>
  <c r="I23" i="1"/>
  <c r="K23" i="1" s="1"/>
  <c r="M23" i="1" s="1"/>
  <c r="I1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2" i="1"/>
  <c r="I3" i="1"/>
  <c r="I4" i="1"/>
  <c r="I5" i="1"/>
  <c r="I6" i="1"/>
  <c r="I7" i="1"/>
  <c r="I8" i="1"/>
  <c r="I9" i="1"/>
  <c r="I10" i="1"/>
  <c r="I11" i="1"/>
  <c r="I13" i="1"/>
  <c r="K13" i="1" s="1"/>
  <c r="M13" i="1" s="1"/>
  <c r="I14" i="1"/>
  <c r="K14" i="1" s="1"/>
  <c r="M14" i="1" s="1"/>
  <c r="I15" i="1"/>
  <c r="K15" i="1" s="1"/>
  <c r="M15" i="1" s="1"/>
  <c r="I16" i="1"/>
  <c r="K16" i="1" s="1"/>
  <c r="M16" i="1" s="1"/>
  <c r="I17" i="1"/>
  <c r="K17" i="1" s="1"/>
  <c r="M17" i="1" s="1"/>
  <c r="I18" i="1"/>
  <c r="K18" i="1" s="1"/>
  <c r="M18" i="1" s="1"/>
  <c r="I19" i="1"/>
  <c r="K19" i="1" s="1"/>
  <c r="M19" i="1" s="1"/>
  <c r="I20" i="1"/>
  <c r="K20" i="1" s="1"/>
  <c r="M20" i="1" s="1"/>
  <c r="I21" i="1"/>
  <c r="K21" i="1" s="1"/>
  <c r="M21" i="1" s="1"/>
  <c r="I22" i="1"/>
  <c r="K22" i="1" s="1"/>
  <c r="M22" i="1" s="1"/>
  <c r="I24" i="1"/>
  <c r="K24" i="1" s="1"/>
  <c r="M24" i="1" s="1"/>
  <c r="I25" i="1"/>
  <c r="K25" i="1" s="1"/>
  <c r="M25" i="1" s="1"/>
  <c r="I26" i="1"/>
  <c r="K26" i="1" s="1"/>
  <c r="M26" i="1" s="1"/>
  <c r="I27" i="1"/>
  <c r="K27" i="1" s="1"/>
  <c r="M27" i="1" s="1"/>
  <c r="I28" i="1"/>
  <c r="K28" i="1" s="1"/>
  <c r="M28" i="1" s="1"/>
  <c r="I29" i="1"/>
  <c r="K29" i="1" s="1"/>
  <c r="M29" i="1" s="1"/>
  <c r="I30" i="1"/>
  <c r="K30" i="1" s="1"/>
  <c r="M30" i="1" s="1"/>
  <c r="I31" i="1"/>
  <c r="K31" i="1" s="1"/>
  <c r="M31" i="1" s="1"/>
  <c r="I32" i="1"/>
  <c r="K32" i="1" s="1"/>
  <c r="M32" i="1" s="1"/>
  <c r="I33" i="1"/>
  <c r="K33" i="1" s="1"/>
  <c r="M33" i="1" s="1"/>
  <c r="I35" i="1"/>
  <c r="K35" i="1" s="1"/>
  <c r="M35" i="1" s="1"/>
  <c r="I36" i="1"/>
  <c r="K36" i="1" s="1"/>
  <c r="M36" i="1" s="1"/>
  <c r="I37" i="1"/>
  <c r="K37" i="1" s="1"/>
  <c r="M37" i="1" s="1"/>
  <c r="I38" i="1"/>
  <c r="K38" i="1" s="1"/>
  <c r="M38" i="1" s="1"/>
  <c r="I39" i="1"/>
  <c r="K39" i="1" s="1"/>
  <c r="M39" i="1" s="1"/>
  <c r="I40" i="1"/>
  <c r="K40" i="1" s="1"/>
  <c r="M40" i="1" s="1"/>
  <c r="I41" i="1"/>
  <c r="K41" i="1" s="1"/>
  <c r="M41" i="1" s="1"/>
  <c r="I42" i="1"/>
  <c r="K42" i="1" s="1"/>
  <c r="M42" i="1" s="1"/>
  <c r="I43" i="1"/>
  <c r="K43" i="1" s="1"/>
  <c r="M43" i="1" s="1"/>
  <c r="I44" i="1"/>
  <c r="K44" i="1" s="1"/>
  <c r="M44" i="1" s="1"/>
  <c r="I46" i="1"/>
  <c r="K46" i="1" s="1"/>
  <c r="M46" i="1" s="1"/>
  <c r="I47" i="1"/>
  <c r="K47" i="1" s="1"/>
  <c r="M47" i="1" s="1"/>
  <c r="I48" i="1"/>
  <c r="K48" i="1" s="1"/>
  <c r="M48" i="1" s="1"/>
  <c r="I49" i="1"/>
  <c r="K49" i="1" s="1"/>
  <c r="M49" i="1" s="1"/>
  <c r="I50" i="1"/>
  <c r="K50" i="1" s="1"/>
  <c r="M50" i="1" s="1"/>
  <c r="I51" i="1"/>
  <c r="K51" i="1" s="1"/>
  <c r="M51" i="1" s="1"/>
  <c r="I52" i="1"/>
  <c r="K52" i="1" s="1"/>
  <c r="M52" i="1" s="1"/>
  <c r="I53" i="1"/>
  <c r="K53" i="1" s="1"/>
  <c r="M53" i="1" s="1"/>
  <c r="I54" i="1"/>
  <c r="K54" i="1" s="1"/>
  <c r="M54" i="1" s="1"/>
  <c r="I55" i="1"/>
  <c r="K55" i="1" s="1"/>
  <c r="M55" i="1" s="1"/>
  <c r="I57" i="1"/>
  <c r="K57" i="1" s="1"/>
  <c r="M57" i="1" s="1"/>
  <c r="I58" i="1"/>
  <c r="K58" i="1" s="1"/>
  <c r="M58" i="1" s="1"/>
  <c r="I59" i="1"/>
  <c r="K59" i="1" s="1"/>
  <c r="M59" i="1" s="1"/>
  <c r="I60" i="1"/>
  <c r="K60" i="1" s="1"/>
  <c r="M60" i="1" s="1"/>
  <c r="I61" i="1"/>
  <c r="K61" i="1" s="1"/>
  <c r="M61" i="1" s="1"/>
  <c r="I62" i="1"/>
  <c r="K62" i="1" s="1"/>
  <c r="M62" i="1" s="1"/>
  <c r="I63" i="1"/>
  <c r="K63" i="1" s="1"/>
  <c r="M63" i="1" s="1"/>
  <c r="I64" i="1"/>
  <c r="K64" i="1" s="1"/>
  <c r="M64" i="1" s="1"/>
  <c r="I65" i="1"/>
  <c r="K65" i="1" s="1"/>
  <c r="M65" i="1" s="1"/>
  <c r="I66" i="1"/>
  <c r="K66" i="1" s="1"/>
  <c r="M66" i="1" s="1"/>
  <c r="I68" i="1"/>
  <c r="K68" i="1" s="1"/>
  <c r="M68" i="1" s="1"/>
  <c r="I69" i="1"/>
  <c r="K69" i="1" s="1"/>
  <c r="M69" i="1" s="1"/>
  <c r="I70" i="1"/>
  <c r="K70" i="1" s="1"/>
  <c r="M70" i="1" s="1"/>
  <c r="I71" i="1"/>
  <c r="K71" i="1" s="1"/>
  <c r="M71" i="1" s="1"/>
  <c r="I72" i="1"/>
  <c r="K72" i="1" s="1"/>
  <c r="M72" i="1" s="1"/>
  <c r="I73" i="1"/>
  <c r="K73" i="1" s="1"/>
  <c r="M73" i="1" s="1"/>
  <c r="I74" i="1"/>
  <c r="K74" i="1" s="1"/>
  <c r="M74" i="1" s="1"/>
  <c r="I75" i="1"/>
  <c r="K75" i="1" s="1"/>
  <c r="M75" i="1" s="1"/>
  <c r="I76" i="1"/>
  <c r="K76" i="1" s="1"/>
  <c r="M76" i="1" s="1"/>
  <c r="I77" i="1"/>
  <c r="K77" i="1" s="1"/>
  <c r="M77" i="1" s="1"/>
  <c r="I79" i="1"/>
  <c r="K79" i="1" s="1"/>
  <c r="M79" i="1" s="1"/>
  <c r="I80" i="1"/>
  <c r="K80" i="1" s="1"/>
  <c r="M80" i="1" s="1"/>
  <c r="I81" i="1"/>
  <c r="K81" i="1" s="1"/>
  <c r="M81" i="1" s="1"/>
  <c r="I82" i="1"/>
  <c r="K82" i="1" s="1"/>
  <c r="M82" i="1" s="1"/>
  <c r="I83" i="1"/>
  <c r="K83" i="1" s="1"/>
  <c r="M83" i="1" s="1"/>
  <c r="I84" i="1"/>
  <c r="K84" i="1" s="1"/>
  <c r="M84" i="1" s="1"/>
  <c r="I85" i="1"/>
  <c r="K85" i="1" s="1"/>
  <c r="M85" i="1" s="1"/>
  <c r="I86" i="1"/>
  <c r="K86" i="1" s="1"/>
  <c r="M86" i="1" s="1"/>
  <c r="I87" i="1"/>
  <c r="K87" i="1" s="1"/>
  <c r="M87" i="1" s="1"/>
  <c r="I88" i="1"/>
  <c r="K88" i="1" s="1"/>
  <c r="M88" i="1" s="1"/>
  <c r="I90" i="1"/>
  <c r="K90" i="1" s="1"/>
  <c r="M90" i="1" s="1"/>
  <c r="I91" i="1"/>
  <c r="K91" i="1" s="1"/>
  <c r="M91" i="1" s="1"/>
  <c r="I92" i="1"/>
  <c r="K92" i="1" s="1"/>
  <c r="M92" i="1" s="1"/>
  <c r="I93" i="1"/>
  <c r="K93" i="1" s="1"/>
  <c r="M93" i="1" s="1"/>
  <c r="I94" i="1"/>
  <c r="K94" i="1" s="1"/>
  <c r="M94" i="1" s="1"/>
  <c r="I95" i="1"/>
  <c r="K95" i="1" s="1"/>
  <c r="M95" i="1" s="1"/>
  <c r="I96" i="1"/>
  <c r="K96" i="1" s="1"/>
  <c r="M96" i="1" s="1"/>
  <c r="I97" i="1"/>
  <c r="K97" i="1" s="1"/>
  <c r="M97" i="1" s="1"/>
  <c r="I98" i="1"/>
  <c r="K98" i="1" s="1"/>
  <c r="M98" i="1" s="1"/>
  <c r="I99" i="1"/>
  <c r="K99" i="1" s="1"/>
  <c r="M99" i="1" s="1"/>
  <c r="I101" i="1"/>
  <c r="K101" i="1" s="1"/>
  <c r="M101" i="1" s="1"/>
  <c r="I102" i="1"/>
  <c r="K102" i="1" s="1"/>
  <c r="M102" i="1" s="1"/>
  <c r="I103" i="1"/>
  <c r="K103" i="1" s="1"/>
  <c r="M103" i="1" s="1"/>
  <c r="I104" i="1"/>
  <c r="K104" i="1" s="1"/>
  <c r="M104" i="1" s="1"/>
  <c r="I105" i="1"/>
  <c r="K105" i="1" s="1"/>
  <c r="M105" i="1" s="1"/>
  <c r="I106" i="1"/>
  <c r="K106" i="1" s="1"/>
  <c r="M106" i="1" s="1"/>
  <c r="I107" i="1"/>
  <c r="K107" i="1" s="1"/>
  <c r="M107" i="1" s="1"/>
  <c r="I108" i="1"/>
  <c r="K108" i="1" s="1"/>
  <c r="M108" i="1" s="1"/>
  <c r="I109" i="1"/>
  <c r="K109" i="1" s="1"/>
  <c r="M109" i="1" s="1"/>
  <c r="I110" i="1"/>
  <c r="K110" i="1" s="1"/>
  <c r="M110" i="1" s="1"/>
  <c r="I112" i="1"/>
  <c r="K112" i="1" s="1"/>
  <c r="M112" i="1" s="1"/>
  <c r="I113" i="1"/>
  <c r="K113" i="1" s="1"/>
  <c r="M113" i="1" s="1"/>
  <c r="I114" i="1"/>
  <c r="K114" i="1" s="1"/>
  <c r="M114" i="1" s="1"/>
  <c r="I115" i="1"/>
  <c r="K115" i="1" s="1"/>
  <c r="M115" i="1" s="1"/>
  <c r="I116" i="1"/>
  <c r="K116" i="1" s="1"/>
  <c r="M116" i="1" s="1"/>
  <c r="I117" i="1"/>
  <c r="K117" i="1" s="1"/>
  <c r="M117" i="1" s="1"/>
  <c r="I118" i="1"/>
  <c r="K118" i="1" s="1"/>
  <c r="M118" i="1" s="1"/>
  <c r="I119" i="1"/>
  <c r="K119" i="1" s="1"/>
  <c r="M119" i="1" s="1"/>
  <c r="I120" i="1"/>
  <c r="K120" i="1" s="1"/>
  <c r="M120" i="1" s="1"/>
  <c r="I121" i="1"/>
  <c r="K121" i="1" s="1"/>
  <c r="M121" i="1" s="1"/>
  <c r="I123" i="1"/>
  <c r="I124" i="1"/>
  <c r="I125" i="1"/>
  <c r="I126" i="1"/>
  <c r="I127" i="1"/>
  <c r="I128" i="1"/>
  <c r="I129" i="1"/>
  <c r="I130" i="1"/>
  <c r="I131" i="1"/>
  <c r="I132" i="1"/>
  <c r="I2" i="1"/>
  <c r="N24" i="1" l="1"/>
  <c r="N27" i="1"/>
  <c r="N117" i="1"/>
  <c r="N118" i="1"/>
  <c r="N119" i="1"/>
  <c r="O3" i="1"/>
  <c r="R3" i="1"/>
  <c r="P3" i="1" s="1"/>
  <c r="O4" i="1"/>
  <c r="R4" i="1"/>
  <c r="P4" i="1" s="1"/>
  <c r="O5" i="1"/>
  <c r="R5" i="1"/>
  <c r="P5" i="1" s="1"/>
  <c r="O6" i="1"/>
  <c r="R6" i="1"/>
  <c r="P6" i="1" s="1"/>
  <c r="O7" i="1"/>
  <c r="R7" i="1"/>
  <c r="P7" i="1" s="1"/>
  <c r="O8" i="1"/>
  <c r="R8" i="1"/>
  <c r="P8" i="1" s="1"/>
  <c r="O9" i="1"/>
  <c r="R9" i="1"/>
  <c r="P9" i="1" s="1"/>
  <c r="O10" i="1"/>
  <c r="R10" i="1"/>
  <c r="P10" i="1" s="1"/>
  <c r="O11" i="1"/>
  <c r="R11" i="1"/>
  <c r="P11" i="1" s="1"/>
  <c r="O12" i="1"/>
  <c r="R12" i="1"/>
  <c r="P12" i="1" s="1"/>
  <c r="O123" i="1"/>
  <c r="R123" i="1"/>
  <c r="P123" i="1" s="1"/>
  <c r="O124" i="1"/>
  <c r="R124" i="1"/>
  <c r="P124" i="1" s="1"/>
  <c r="O125" i="1"/>
  <c r="R125" i="1"/>
  <c r="P125" i="1" s="1"/>
  <c r="O126" i="1"/>
  <c r="R126" i="1"/>
  <c r="P126" i="1" s="1"/>
  <c r="O127" i="1"/>
  <c r="R127" i="1"/>
  <c r="P127" i="1" s="1"/>
  <c r="O128" i="1"/>
  <c r="R128" i="1"/>
  <c r="P128" i="1" s="1"/>
  <c r="O129" i="1"/>
  <c r="R129" i="1"/>
  <c r="P129" i="1" s="1"/>
  <c r="O130" i="1"/>
  <c r="R130" i="1"/>
  <c r="P130" i="1" s="1"/>
  <c r="O131" i="1"/>
  <c r="R131" i="1"/>
  <c r="P131" i="1" s="1"/>
  <c r="O132" i="1"/>
  <c r="R132" i="1"/>
  <c r="P132" i="1" s="1"/>
  <c r="O133" i="1"/>
  <c r="R133" i="1"/>
  <c r="P133" i="1" s="1"/>
  <c r="O2" i="1"/>
  <c r="R2" i="1"/>
  <c r="P2" i="1" s="1"/>
  <c r="K133" i="1"/>
  <c r="J133" i="1"/>
  <c r="K12" i="1"/>
  <c r="K3" i="1"/>
  <c r="J3" i="1"/>
  <c r="K4" i="1"/>
  <c r="J4" i="1"/>
  <c r="K5" i="1"/>
  <c r="J5" i="1"/>
  <c r="K6" i="1"/>
  <c r="J6" i="1"/>
  <c r="K7" i="1"/>
  <c r="J7" i="1"/>
  <c r="K8" i="1"/>
  <c r="J8" i="1"/>
  <c r="K9" i="1"/>
  <c r="J9" i="1"/>
  <c r="K10" i="1"/>
  <c r="J10" i="1"/>
  <c r="K11" i="1"/>
  <c r="J11" i="1"/>
  <c r="K123" i="1"/>
  <c r="J123" i="1"/>
  <c r="K124" i="1"/>
  <c r="J124" i="1"/>
  <c r="K125" i="1"/>
  <c r="J125" i="1"/>
  <c r="K126" i="1"/>
  <c r="J126" i="1"/>
  <c r="K127" i="1"/>
  <c r="J127" i="1"/>
  <c r="K128" i="1"/>
  <c r="J128" i="1"/>
  <c r="K129" i="1"/>
  <c r="J129" i="1"/>
  <c r="K130" i="1"/>
  <c r="J130" i="1"/>
  <c r="K131" i="1"/>
  <c r="J131" i="1"/>
  <c r="K132" i="1"/>
  <c r="J132" i="1"/>
  <c r="K2" i="1"/>
  <c r="J2" i="1"/>
  <c r="L133" i="1" l="1"/>
  <c r="N133" i="1" s="1"/>
  <c r="M133" i="1"/>
  <c r="L12" i="1"/>
  <c r="N12" i="1" s="1"/>
  <c r="M12" i="1"/>
  <c r="L3" i="1"/>
  <c r="N3" i="1" s="1"/>
  <c r="M3" i="1"/>
  <c r="L4" i="1"/>
  <c r="N4" i="1" s="1"/>
  <c r="M4" i="1"/>
  <c r="L5" i="1"/>
  <c r="N5" i="1" s="1"/>
  <c r="M5" i="1"/>
  <c r="L6" i="1"/>
  <c r="N6" i="1" s="1"/>
  <c r="M6" i="1"/>
  <c r="L7" i="1"/>
  <c r="N7" i="1" s="1"/>
  <c r="M7" i="1"/>
  <c r="L8" i="1"/>
  <c r="N8" i="1" s="1"/>
  <c r="M8" i="1"/>
  <c r="L9" i="1"/>
  <c r="N9" i="1" s="1"/>
  <c r="M9" i="1"/>
  <c r="L10" i="1"/>
  <c r="N10" i="1" s="1"/>
  <c r="M10" i="1"/>
  <c r="L11" i="1"/>
  <c r="N11" i="1" s="1"/>
  <c r="M11" i="1"/>
  <c r="L123" i="1"/>
  <c r="N123" i="1" s="1"/>
  <c r="M123" i="1"/>
  <c r="L124" i="1"/>
  <c r="N124" i="1" s="1"/>
  <c r="M124" i="1"/>
  <c r="L125" i="1"/>
  <c r="N125" i="1" s="1"/>
  <c r="M125" i="1"/>
  <c r="L126" i="1"/>
  <c r="N126" i="1" s="1"/>
  <c r="M126" i="1"/>
  <c r="L127" i="1"/>
  <c r="N127" i="1" s="1"/>
  <c r="M127" i="1"/>
  <c r="L128" i="1"/>
  <c r="N128" i="1" s="1"/>
  <c r="M128" i="1"/>
  <c r="L129" i="1"/>
  <c r="N129" i="1" s="1"/>
  <c r="M129" i="1"/>
  <c r="L130" i="1"/>
  <c r="N130" i="1" s="1"/>
  <c r="M130" i="1"/>
  <c r="L131" i="1"/>
  <c r="N131" i="1" s="1"/>
  <c r="M131" i="1"/>
  <c r="L132" i="1"/>
  <c r="N132" i="1" s="1"/>
  <c r="M132" i="1"/>
  <c r="L2" i="1"/>
  <c r="N2" i="1" s="1"/>
  <c r="M2" i="1"/>
</calcChain>
</file>

<file path=xl/sharedStrings.xml><?xml version="1.0" encoding="utf-8"?>
<sst xmlns="http://schemas.openxmlformats.org/spreadsheetml/2006/main" count="20" uniqueCount="20">
  <si>
    <t>periodo</t>
  </si>
  <si>
    <t>limite_inferior</t>
  </si>
  <si>
    <t>limite_superior</t>
  </si>
  <si>
    <t>cuota_fija</t>
  </si>
  <si>
    <t>porcentaje</t>
  </si>
  <si>
    <t>ISR</t>
  </si>
  <si>
    <t>proporcion del salario minimo para alcanzar cada tasa</t>
  </si>
  <si>
    <t>INPC</t>
  </si>
  <si>
    <t>limite_inferior_real</t>
  </si>
  <si>
    <t>limite_superior_real</t>
  </si>
  <si>
    <t>cuota_fija_real</t>
  </si>
  <si>
    <t>punto_medio_real</t>
  </si>
  <si>
    <t xml:space="preserve">punto_medio </t>
  </si>
  <si>
    <t>ISR_real</t>
  </si>
  <si>
    <t>Tasa_promedio</t>
  </si>
  <si>
    <t>Tasa_promedio_real</t>
  </si>
  <si>
    <t>proporcion_de_salario_minimo_por_banda</t>
  </si>
  <si>
    <t>proporcion_de_salario_minimo_por_banda_real</t>
  </si>
  <si>
    <t>Salario_minimo_mensual</t>
  </si>
  <si>
    <t>Salario_minimo_mensual_real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</si>
</sst>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0" fillId="2" borderId="0" xfId="0" applyFill="1"/>
    <xf numFmtId="10" fontId="0" fillId="2" borderId="0" xfId="1" applyNumberFormat="1" applyFont="1" applyFill="1"/>
    <xf numFmtId="2" fontId="0" fillId="0" borderId="0" xfId="1" applyNumberFormat="1" applyFont="1"/>
    <xf numFmtId="2" fontId="0" fillId="2" borderId="0" xfId="1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6073-7743-4701-AC82-D7B252944A15}">
  <dimension ref="A1:U133"/>
  <sheetViews>
    <sheetView tabSelected="1" topLeftCell="F1" zoomScale="68" zoomScaleNormal="115" workbookViewId="0">
      <selection activeCell="J18" sqref="J18"/>
    </sheetView>
  </sheetViews>
  <sheetFormatPr baseColWidth="10" defaultRowHeight="15" x14ac:dyDescent="0.25"/>
  <cols>
    <col min="1" max="1" width="11.5703125" bestFit="1" customWidth="1"/>
    <col min="2" max="5" width="21.42578125" customWidth="1"/>
    <col min="6" max="7" width="24.5703125" customWidth="1"/>
    <col min="8" max="8" width="11.5703125" bestFit="1" customWidth="1"/>
    <col min="9" max="10" width="52.42578125" customWidth="1"/>
    <col min="11" max="12" width="11.5703125" customWidth="1"/>
    <col min="13" max="13" width="22" customWidth="1"/>
    <col min="14" max="14" width="22" hidden="1" customWidth="1"/>
    <col min="15" max="15" width="22" customWidth="1"/>
    <col min="16" max="16" width="22" hidden="1" customWidth="1"/>
    <col min="17" max="18" width="35" customWidth="1"/>
    <col min="19" max="19" width="29" hidden="1" customWidth="1"/>
    <col min="20" max="20" width="24.42578125" hidden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3</v>
      </c>
      <c r="G1" t="s">
        <v>10</v>
      </c>
      <c r="H1" t="s">
        <v>4</v>
      </c>
      <c r="I1" t="s">
        <v>12</v>
      </c>
      <c r="J1" t="s">
        <v>11</v>
      </c>
      <c r="K1" t="s">
        <v>5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6</v>
      </c>
      <c r="U1" t="s">
        <v>7</v>
      </c>
    </row>
    <row r="2" spans="1:21" x14ac:dyDescent="0.25">
      <c r="A2">
        <v>2015</v>
      </c>
      <c r="B2">
        <v>0.01</v>
      </c>
      <c r="C2">
        <v>496.07</v>
      </c>
      <c r="D2">
        <f>B2*($U$123/U2)</f>
        <v>1.6404291953475529E-2</v>
      </c>
      <c r="E2">
        <f>C2*($U$123/U2)</f>
        <v>813.76771093606055</v>
      </c>
      <c r="F2">
        <v>0</v>
      </c>
      <c r="G2">
        <f>F2*($U$123/U2)</f>
        <v>0</v>
      </c>
      <c r="H2">
        <v>1.92</v>
      </c>
      <c r="I2">
        <f>(B2+C2)/2</f>
        <v>248.04</v>
      </c>
      <c r="J2">
        <f>I2*($U$123/U2)</f>
        <v>406.892057614007</v>
      </c>
      <c r="K2">
        <f>F2+(I2-B2)*(H2/100)</f>
        <v>4.7621759999999993</v>
      </c>
      <c r="L2">
        <f>K2*($U$123/U2)</f>
        <v>7.8120125437834274</v>
      </c>
      <c r="M2" s="1">
        <f>K2/I2</f>
        <v>1.9199225931301401E-2</v>
      </c>
      <c r="N2" s="1">
        <f>L2/J2</f>
        <v>1.9199225931301401E-2</v>
      </c>
      <c r="O2" s="4">
        <f>B2/Q2</f>
        <v>4.7551117451260107E-6</v>
      </c>
      <c r="P2" s="4">
        <f>D2/R2</f>
        <v>4.7551117451260099E-6</v>
      </c>
      <c r="Q2">
        <f>T2*30</f>
        <v>2103</v>
      </c>
      <c r="R2">
        <f>Q2*($U$123/U2)</f>
        <v>3449.8225978159039</v>
      </c>
      <c r="S2">
        <f>B2/T2</f>
        <v>1.4265335235378034E-4</v>
      </c>
      <c r="T2">
        <v>70.099999999999994</v>
      </c>
      <c r="U2">
        <v>89.046818000000002</v>
      </c>
    </row>
    <row r="3" spans="1:21" x14ac:dyDescent="0.25">
      <c r="A3">
        <v>2015</v>
      </c>
      <c r="B3">
        <v>496.08</v>
      </c>
      <c r="C3">
        <v>4210.41</v>
      </c>
      <c r="D3">
        <f t="shared" ref="D3:D66" si="0">B3*($U$123/U3)</f>
        <v>813.784115228014</v>
      </c>
      <c r="E3">
        <f t="shared" ref="E3:E66" si="1">C3*($U$123/U3)</f>
        <v>6906.8794883832898</v>
      </c>
      <c r="F3">
        <v>9.52</v>
      </c>
      <c r="G3">
        <f t="shared" ref="G3:G66" si="2">F3*($U$123/U3)</f>
        <v>15.616885939708704</v>
      </c>
      <c r="H3">
        <v>6.4</v>
      </c>
      <c r="I3">
        <f t="shared" ref="I3:I66" si="3">(B3+C3)/2</f>
        <v>2353.2449999999999</v>
      </c>
      <c r="J3">
        <f t="shared" ref="J3:J66" si="4">I3*($U$123/U3)</f>
        <v>3860.331801805652</v>
      </c>
      <c r="K3">
        <f t="shared" ref="K3:K66" si="5">F3+(I3-B3)*(H3/100)</f>
        <v>128.37855999999999</v>
      </c>
      <c r="L3">
        <f t="shared" ref="L3:L66" si="6">K3*($U$123/U3)</f>
        <v>210.59593788067752</v>
      </c>
      <c r="M3" s="1">
        <f t="shared" ref="M3:M66" si="7">K3/I3</f>
        <v>5.4553843734927727E-2</v>
      </c>
      <c r="N3" s="1">
        <f t="shared" ref="N3:N66" si="8">L3/J3</f>
        <v>5.4553843734927727E-2</v>
      </c>
      <c r="O3" s="4">
        <f t="shared" ref="O3:O66" si="9">B3/Q3</f>
        <v>0.23589158345221112</v>
      </c>
      <c r="P3" s="4">
        <f t="shared" ref="P3:P66" si="10">D3/R3</f>
        <v>0.23589158345221109</v>
      </c>
      <c r="Q3">
        <f t="shared" ref="Q3:Q66" si="11">T3*30</f>
        <v>2103</v>
      </c>
      <c r="R3">
        <f t="shared" ref="R3:R66" si="12">Q3*($U$123/U3)</f>
        <v>3449.8225978159039</v>
      </c>
      <c r="S3">
        <f>B3/T3</f>
        <v>7.0767475035663345</v>
      </c>
      <c r="T3">
        <v>70.099999999999994</v>
      </c>
      <c r="U3">
        <v>89.046818000000002</v>
      </c>
    </row>
    <row r="4" spans="1:21" x14ac:dyDescent="0.25">
      <c r="A4">
        <v>2015</v>
      </c>
      <c r="B4">
        <v>4210.42</v>
      </c>
      <c r="C4">
        <v>7399.42</v>
      </c>
      <c r="D4">
        <f t="shared" si="0"/>
        <v>6906.8958926752439</v>
      </c>
      <c r="E4">
        <f t="shared" si="1"/>
        <v>12138.224596638591</v>
      </c>
      <c r="F4">
        <v>247.24</v>
      </c>
      <c r="G4">
        <f t="shared" si="2"/>
        <v>405.57971425772899</v>
      </c>
      <c r="H4">
        <v>10.88</v>
      </c>
      <c r="I4">
        <f t="shared" si="3"/>
        <v>5804.92</v>
      </c>
      <c r="J4">
        <f t="shared" si="4"/>
        <v>9522.5602446569173</v>
      </c>
      <c r="K4">
        <f t="shared" si="5"/>
        <v>420.72160000000002</v>
      </c>
      <c r="L4">
        <f t="shared" si="6"/>
        <v>690.16399575333503</v>
      </c>
      <c r="M4" s="1">
        <f t="shared" si="7"/>
        <v>7.2476726638782282E-2</v>
      </c>
      <c r="N4" s="1">
        <f t="shared" si="8"/>
        <v>7.2476726638782268E-2</v>
      </c>
      <c r="O4" s="4">
        <f t="shared" si="9"/>
        <v>2.0021017593913459</v>
      </c>
      <c r="P4" s="4">
        <f t="shared" si="10"/>
        <v>2.0021017593913455</v>
      </c>
      <c r="Q4">
        <f t="shared" si="11"/>
        <v>2103</v>
      </c>
      <c r="R4">
        <f t="shared" si="12"/>
        <v>3449.8225978159039</v>
      </c>
      <c r="S4">
        <f>B4/T4</f>
        <v>60.063052781740375</v>
      </c>
      <c r="T4">
        <v>70.099999999999994</v>
      </c>
      <c r="U4">
        <v>89.046818000000002</v>
      </c>
    </row>
    <row r="5" spans="1:21" x14ac:dyDescent="0.25">
      <c r="A5">
        <v>2015</v>
      </c>
      <c r="B5">
        <v>7399.43</v>
      </c>
      <c r="C5">
        <v>8601.5</v>
      </c>
      <c r="D5">
        <f t="shared" si="0"/>
        <v>12138.241000930544</v>
      </c>
      <c r="E5">
        <f t="shared" si="1"/>
        <v>14110.151723781977</v>
      </c>
      <c r="F5">
        <v>594.21</v>
      </c>
      <c r="G5">
        <f t="shared" si="2"/>
        <v>974.75943216746953</v>
      </c>
      <c r="H5">
        <v>16</v>
      </c>
      <c r="I5">
        <f t="shared" si="3"/>
        <v>8000.4650000000001</v>
      </c>
      <c r="J5">
        <f t="shared" si="4"/>
        <v>13124.196362356261</v>
      </c>
      <c r="K5">
        <f t="shared" si="5"/>
        <v>690.37560000000008</v>
      </c>
      <c r="L5">
        <f t="shared" si="6"/>
        <v>1132.5122899955843</v>
      </c>
      <c r="M5" s="1">
        <f>K5/I5</f>
        <v>8.6291934281319913E-2</v>
      </c>
      <c r="N5" s="1">
        <f t="shared" si="8"/>
        <v>8.6291934281319913E-2</v>
      </c>
      <c r="O5" s="4">
        <f t="shared" si="9"/>
        <v>3.5185116500237759</v>
      </c>
      <c r="P5" s="4">
        <f t="shared" si="10"/>
        <v>3.5185116500237754</v>
      </c>
      <c r="Q5">
        <f t="shared" si="11"/>
        <v>2103</v>
      </c>
      <c r="R5">
        <f t="shared" si="12"/>
        <v>3449.8225978159039</v>
      </c>
      <c r="S5">
        <f>B5/T5</f>
        <v>105.55534950071328</v>
      </c>
      <c r="T5">
        <v>70.099999999999994</v>
      </c>
      <c r="U5">
        <v>89.046818000000002</v>
      </c>
    </row>
    <row r="6" spans="1:21" x14ac:dyDescent="0.25">
      <c r="A6">
        <v>2015</v>
      </c>
      <c r="B6">
        <v>8601.51</v>
      </c>
      <c r="C6">
        <v>10298.35</v>
      </c>
      <c r="D6">
        <f t="shared" si="0"/>
        <v>14110.16812807393</v>
      </c>
      <c r="E6">
        <f t="shared" si="1"/>
        <v>16893.714003907473</v>
      </c>
      <c r="F6">
        <v>786.54</v>
      </c>
      <c r="G6">
        <f t="shared" si="2"/>
        <v>1290.2631793086641</v>
      </c>
      <c r="H6">
        <v>17.920000000000002</v>
      </c>
      <c r="I6">
        <f t="shared" si="3"/>
        <v>9449.93</v>
      </c>
      <c r="J6">
        <f t="shared" si="4"/>
        <v>15501.941065990701</v>
      </c>
      <c r="K6">
        <f t="shared" si="5"/>
        <v>938.576864</v>
      </c>
      <c r="L6">
        <f t="shared" si="6"/>
        <v>1539.6688897833496</v>
      </c>
      <c r="M6" s="1">
        <f t="shared" si="7"/>
        <v>9.9321038780181434E-2</v>
      </c>
      <c r="N6" s="1">
        <f t="shared" si="8"/>
        <v>9.9321038780181448E-2</v>
      </c>
      <c r="O6" s="4">
        <f t="shared" si="9"/>
        <v>4.0901141226818831</v>
      </c>
      <c r="P6" s="4">
        <f t="shared" si="10"/>
        <v>4.0901141226818831</v>
      </c>
      <c r="Q6">
        <f t="shared" si="11"/>
        <v>2103</v>
      </c>
      <c r="R6">
        <f t="shared" si="12"/>
        <v>3449.8225978159039</v>
      </c>
      <c r="S6">
        <f>B6/T6</f>
        <v>122.70342368045651</v>
      </c>
      <c r="T6">
        <v>70.099999999999994</v>
      </c>
      <c r="U6">
        <v>89.046818000000002</v>
      </c>
    </row>
    <row r="7" spans="1:21" x14ac:dyDescent="0.25">
      <c r="A7">
        <v>2015</v>
      </c>
      <c r="B7">
        <v>10298.36</v>
      </c>
      <c r="C7">
        <v>20770.29</v>
      </c>
      <c r="D7">
        <f t="shared" si="0"/>
        <v>16893.730408199426</v>
      </c>
      <c r="E7">
        <f t="shared" si="1"/>
        <v>34072.190111835327</v>
      </c>
      <c r="F7">
        <v>1090.6099999999999</v>
      </c>
      <c r="G7">
        <f t="shared" si="2"/>
        <v>1789.0684847379946</v>
      </c>
      <c r="H7">
        <v>21.36</v>
      </c>
      <c r="I7">
        <f t="shared" si="3"/>
        <v>15534.325000000001</v>
      </c>
      <c r="J7">
        <f t="shared" si="4"/>
        <v>25482.960260017375</v>
      </c>
      <c r="K7">
        <f t="shared" si="5"/>
        <v>2209.0121239999999</v>
      </c>
      <c r="L7">
        <f t="shared" si="6"/>
        <v>3623.7279810863088</v>
      </c>
      <c r="M7" s="1">
        <f t="shared" si="7"/>
        <v>0.14220200259747365</v>
      </c>
      <c r="N7" s="1">
        <f t="shared" si="8"/>
        <v>0.14220200259747365</v>
      </c>
      <c r="O7" s="4">
        <f t="shared" si="9"/>
        <v>4.8969852591535901</v>
      </c>
      <c r="P7" s="4">
        <f t="shared" si="10"/>
        <v>4.8969852591535901</v>
      </c>
      <c r="Q7">
        <f t="shared" si="11"/>
        <v>2103</v>
      </c>
      <c r="R7">
        <f t="shared" si="12"/>
        <v>3449.8225978159039</v>
      </c>
      <c r="S7">
        <f>B7/T7</f>
        <v>146.90955777460772</v>
      </c>
      <c r="T7">
        <v>70.099999999999994</v>
      </c>
      <c r="U7">
        <v>89.046818000000002</v>
      </c>
    </row>
    <row r="8" spans="1:21" x14ac:dyDescent="0.25">
      <c r="A8">
        <v>2015</v>
      </c>
      <c r="B8">
        <v>20770.3</v>
      </c>
      <c r="C8">
        <v>32736.83</v>
      </c>
      <c r="D8">
        <f t="shared" si="0"/>
        <v>34072.206516127277</v>
      </c>
      <c r="E8">
        <f t="shared" si="1"/>
        <v>53702.451695129632</v>
      </c>
      <c r="F8">
        <v>3327.42</v>
      </c>
      <c r="G8">
        <f t="shared" si="2"/>
        <v>5458.3969131833546</v>
      </c>
      <c r="H8">
        <v>23.52</v>
      </c>
      <c r="I8">
        <f t="shared" si="3"/>
        <v>26753.565000000002</v>
      </c>
      <c r="J8">
        <f t="shared" si="4"/>
        <v>43887.329105628458</v>
      </c>
      <c r="K8">
        <f t="shared" si="5"/>
        <v>4734.6839280000004</v>
      </c>
      <c r="L8">
        <f t="shared" si="6"/>
        <v>7766.9137462340323</v>
      </c>
      <c r="M8" s="1">
        <f t="shared" si="7"/>
        <v>0.17697394451916967</v>
      </c>
      <c r="N8" s="1">
        <f t="shared" si="8"/>
        <v>0.1769739445191697</v>
      </c>
      <c r="O8" s="4">
        <f t="shared" si="9"/>
        <v>9.8765097479790764</v>
      </c>
      <c r="P8" s="4">
        <f t="shared" si="10"/>
        <v>9.8765097479790764</v>
      </c>
      <c r="Q8">
        <f t="shared" si="11"/>
        <v>2103</v>
      </c>
      <c r="R8">
        <f t="shared" si="12"/>
        <v>3449.8225978159039</v>
      </c>
      <c r="S8">
        <f>B8/T8</f>
        <v>296.29529243937236</v>
      </c>
      <c r="T8">
        <v>70.099999999999994</v>
      </c>
      <c r="U8">
        <v>89.046818000000002</v>
      </c>
    </row>
    <row r="9" spans="1:21" x14ac:dyDescent="0.25">
      <c r="A9">
        <v>2015</v>
      </c>
      <c r="B9">
        <v>32736.84</v>
      </c>
      <c r="C9">
        <v>62500</v>
      </c>
      <c r="D9">
        <f t="shared" si="0"/>
        <v>53702.468099421589</v>
      </c>
      <c r="E9">
        <f t="shared" si="1"/>
        <v>102526.82470922206</v>
      </c>
      <c r="F9">
        <v>6141.95</v>
      </c>
      <c r="G9">
        <f t="shared" si="2"/>
        <v>10075.434096364903</v>
      </c>
      <c r="H9">
        <v>30</v>
      </c>
      <c r="I9">
        <f t="shared" si="3"/>
        <v>47618.42</v>
      </c>
      <c r="J9">
        <f t="shared" si="4"/>
        <v>78114.646404321815</v>
      </c>
      <c r="K9">
        <f t="shared" si="5"/>
        <v>10606.423999999999</v>
      </c>
      <c r="L9">
        <f t="shared" si="6"/>
        <v>17399.087587834973</v>
      </c>
      <c r="M9" s="1">
        <f t="shared" si="7"/>
        <v>0.22273783968472705</v>
      </c>
      <c r="N9" s="1">
        <f t="shared" si="8"/>
        <v>0.22273783968472705</v>
      </c>
      <c r="O9" s="4">
        <f t="shared" si="9"/>
        <v>15.566733238231098</v>
      </c>
      <c r="P9" s="4">
        <f t="shared" si="10"/>
        <v>15.5667332382311</v>
      </c>
      <c r="Q9">
        <f t="shared" si="11"/>
        <v>2103</v>
      </c>
      <c r="R9">
        <f t="shared" si="12"/>
        <v>3449.8225978159039</v>
      </c>
      <c r="S9">
        <f>B9/T9</f>
        <v>467.00199714693298</v>
      </c>
      <c r="T9">
        <v>70.099999999999994</v>
      </c>
      <c r="U9">
        <v>89.046818000000002</v>
      </c>
    </row>
    <row r="10" spans="1:21" x14ac:dyDescent="0.25">
      <c r="A10">
        <v>2015</v>
      </c>
      <c r="B10">
        <v>62500.01</v>
      </c>
      <c r="C10">
        <v>83333.33</v>
      </c>
      <c r="D10">
        <f t="shared" si="0"/>
        <v>102526.84111351402</v>
      </c>
      <c r="E10">
        <f t="shared" si="1"/>
        <v>136702.4274775321</v>
      </c>
      <c r="F10">
        <v>15070.9</v>
      </c>
      <c r="G10">
        <f t="shared" si="2"/>
        <v>24722.744360163433</v>
      </c>
      <c r="H10">
        <v>32</v>
      </c>
      <c r="I10">
        <f t="shared" si="3"/>
        <v>72916.67</v>
      </c>
      <c r="J10">
        <f t="shared" si="4"/>
        <v>119614.63429552305</v>
      </c>
      <c r="K10">
        <f t="shared" si="5"/>
        <v>18404.231199999998</v>
      </c>
      <c r="L10">
        <f t="shared" si="6"/>
        <v>30190.838178406328</v>
      </c>
      <c r="M10" s="1">
        <f t="shared" si="7"/>
        <v>0.25240087349024576</v>
      </c>
      <c r="N10" s="1">
        <f t="shared" si="8"/>
        <v>0.25240087349024576</v>
      </c>
      <c r="O10" s="4">
        <f t="shared" si="9"/>
        <v>29.719453162149311</v>
      </c>
      <c r="P10" s="4">
        <f t="shared" si="10"/>
        <v>29.719453162149311</v>
      </c>
      <c r="Q10">
        <f t="shared" si="11"/>
        <v>2103</v>
      </c>
      <c r="R10">
        <f t="shared" si="12"/>
        <v>3449.8225978159039</v>
      </c>
      <c r="S10">
        <f>B10/T10</f>
        <v>891.58359486447944</v>
      </c>
      <c r="T10">
        <v>70.099999999999994</v>
      </c>
      <c r="U10">
        <v>89.046818000000002</v>
      </c>
    </row>
    <row r="11" spans="1:21" x14ac:dyDescent="0.25">
      <c r="A11">
        <v>2015</v>
      </c>
      <c r="B11">
        <v>83333.34</v>
      </c>
      <c r="C11">
        <v>250000</v>
      </c>
      <c r="D11">
        <f t="shared" si="0"/>
        <v>136702.44388182403</v>
      </c>
      <c r="E11">
        <f t="shared" si="1"/>
        <v>410107.29883688822</v>
      </c>
      <c r="F11">
        <v>21737.57</v>
      </c>
      <c r="G11">
        <f t="shared" si="2"/>
        <v>35658.944463911103</v>
      </c>
      <c r="H11">
        <v>34</v>
      </c>
      <c r="I11">
        <f t="shared" si="3"/>
        <v>166666.66999999998</v>
      </c>
      <c r="J11">
        <f t="shared" si="4"/>
        <v>273404.8713593561</v>
      </c>
      <c r="K11">
        <f t="shared" si="5"/>
        <v>50070.902199999997</v>
      </c>
      <c r="L11">
        <f t="shared" si="6"/>
        <v>82137.769806272016</v>
      </c>
      <c r="M11" s="1">
        <f t="shared" si="7"/>
        <v>0.30042540719149186</v>
      </c>
      <c r="N11" s="1">
        <f t="shared" si="8"/>
        <v>0.30042540719149191</v>
      </c>
      <c r="O11" s="4">
        <f t="shared" si="9"/>
        <v>39.625934379457917</v>
      </c>
      <c r="P11" s="4">
        <f t="shared" si="10"/>
        <v>39.62593437945791</v>
      </c>
      <c r="Q11">
        <f t="shared" si="11"/>
        <v>2103</v>
      </c>
      <c r="R11">
        <f t="shared" si="12"/>
        <v>3449.8225978159039</v>
      </c>
      <c r="S11">
        <f>B11/T11</f>
        <v>1188.7780313837375</v>
      </c>
      <c r="T11">
        <v>70.099999999999994</v>
      </c>
      <c r="U11">
        <v>89.046818000000002</v>
      </c>
    </row>
    <row r="12" spans="1:21" x14ac:dyDescent="0.25">
      <c r="A12" s="2">
        <v>2015</v>
      </c>
      <c r="B12" s="2">
        <v>250000.01</v>
      </c>
      <c r="C12" s="2"/>
      <c r="D12">
        <f t="shared" si="0"/>
        <v>410107.31524118019</v>
      </c>
      <c r="E12">
        <f t="shared" si="1"/>
        <v>0</v>
      </c>
      <c r="F12" s="2">
        <v>78404.23</v>
      </c>
      <c r="G12">
        <f t="shared" si="2"/>
        <v>128616.58793074447</v>
      </c>
      <c r="H12" s="2">
        <v>35</v>
      </c>
      <c r="I12" s="2">
        <f>B12*1.5</f>
        <v>375000.01500000001</v>
      </c>
      <c r="J12">
        <f t="shared" si="4"/>
        <v>615160.97286177031</v>
      </c>
      <c r="K12" s="2">
        <f t="shared" si="5"/>
        <v>122154.23174999999</v>
      </c>
      <c r="L12">
        <f t="shared" si="6"/>
        <v>200385.368097951</v>
      </c>
      <c r="M12" s="3">
        <f t="shared" si="7"/>
        <v>0.32574460497021579</v>
      </c>
      <c r="N12" s="1">
        <f t="shared" si="8"/>
        <v>0.32574460497021579</v>
      </c>
      <c r="O12" s="5">
        <f t="shared" si="9"/>
        <v>118.87779838326202</v>
      </c>
      <c r="P12" s="4">
        <f t="shared" si="10"/>
        <v>118.877798383262</v>
      </c>
      <c r="Q12" s="2">
        <f t="shared" si="11"/>
        <v>2103</v>
      </c>
      <c r="R12">
        <f t="shared" si="12"/>
        <v>3449.8225978159039</v>
      </c>
      <c r="S12" s="2">
        <f>B12/T12</f>
        <v>3566.3339514978607</v>
      </c>
      <c r="T12" s="2">
        <v>70.099999999999994</v>
      </c>
      <c r="U12" s="2">
        <v>89.046818000000002</v>
      </c>
    </row>
    <row r="13" spans="1:21" x14ac:dyDescent="0.25">
      <c r="A13">
        <v>2016</v>
      </c>
      <c r="B13">
        <v>0.01</v>
      </c>
      <c r="C13">
        <v>496.07</v>
      </c>
      <c r="D13">
        <f t="shared" si="0"/>
        <v>1.5870989471854322E-2</v>
      </c>
      <c r="E13">
        <f t="shared" si="1"/>
        <v>787.31217473027732</v>
      </c>
      <c r="F13">
        <v>0</v>
      </c>
      <c r="G13">
        <f t="shared" si="2"/>
        <v>0</v>
      </c>
      <c r="H13">
        <v>1.92</v>
      </c>
      <c r="I13">
        <f t="shared" si="3"/>
        <v>248.04</v>
      </c>
      <c r="J13">
        <f t="shared" si="4"/>
        <v>393.66402285987459</v>
      </c>
      <c r="K13">
        <f t="shared" si="5"/>
        <v>4.7621759999999993</v>
      </c>
      <c r="L13">
        <f t="shared" si="6"/>
        <v>7.5580445159117318</v>
      </c>
      <c r="M13" s="1">
        <f t="shared" si="7"/>
        <v>1.9199225931301401E-2</v>
      </c>
      <c r="N13" s="1">
        <f t="shared" si="8"/>
        <v>1.9199225931301401E-2</v>
      </c>
      <c r="O13" s="4">
        <f t="shared" si="9"/>
        <v>4.5637093829864905E-6</v>
      </c>
      <c r="P13" s="4">
        <f t="shared" si="10"/>
        <v>4.5637093829864905E-6</v>
      </c>
      <c r="Q13">
        <f t="shared" si="11"/>
        <v>2191.2000000000003</v>
      </c>
      <c r="R13">
        <f t="shared" si="12"/>
        <v>3477.6512130727197</v>
      </c>
      <c r="S13">
        <f>B13/T13</f>
        <v>1.3691128148959474E-4</v>
      </c>
      <c r="T13">
        <v>73.040000000000006</v>
      </c>
      <c r="U13">
        <v>92.039000000000001</v>
      </c>
    </row>
    <row r="14" spans="1:21" x14ac:dyDescent="0.25">
      <c r="A14">
        <v>2016</v>
      </c>
      <c r="B14">
        <v>496.08</v>
      </c>
      <c r="C14">
        <v>4210.41</v>
      </c>
      <c r="D14">
        <f t="shared" si="0"/>
        <v>787.32804571974918</v>
      </c>
      <c r="E14">
        <f t="shared" si="1"/>
        <v>6682.3372782190154</v>
      </c>
      <c r="F14">
        <v>9.52</v>
      </c>
      <c r="G14">
        <f t="shared" si="2"/>
        <v>15.109181977205314</v>
      </c>
      <c r="H14">
        <v>6.4</v>
      </c>
      <c r="I14">
        <f t="shared" si="3"/>
        <v>2353.2449999999999</v>
      </c>
      <c r="J14">
        <f t="shared" si="4"/>
        <v>3734.8326619693821</v>
      </c>
      <c r="K14">
        <f t="shared" si="5"/>
        <v>128.37855999999999</v>
      </c>
      <c r="L14">
        <f t="shared" si="6"/>
        <v>203.74947741718182</v>
      </c>
      <c r="M14" s="1">
        <f t="shared" si="7"/>
        <v>5.4553843734927727E-2</v>
      </c>
      <c r="N14" s="1">
        <f t="shared" si="8"/>
        <v>5.4553843734927727E-2</v>
      </c>
      <c r="O14" s="4">
        <f t="shared" si="9"/>
        <v>0.22639649507119383</v>
      </c>
      <c r="P14" s="4">
        <f t="shared" si="10"/>
        <v>0.22639649507119383</v>
      </c>
      <c r="Q14">
        <f t="shared" si="11"/>
        <v>2191.2000000000003</v>
      </c>
      <c r="R14">
        <f t="shared" si="12"/>
        <v>3477.6512130727197</v>
      </c>
      <c r="S14">
        <f>B14/T14</f>
        <v>6.7918948521358153</v>
      </c>
      <c r="T14">
        <v>73.040000000000006</v>
      </c>
      <c r="U14">
        <v>92.039000000000001</v>
      </c>
    </row>
    <row r="15" spans="1:21" x14ac:dyDescent="0.25">
      <c r="A15">
        <v>2016</v>
      </c>
      <c r="B15">
        <v>4210.42</v>
      </c>
      <c r="C15">
        <v>7399.42</v>
      </c>
      <c r="D15">
        <f t="shared" si="0"/>
        <v>6682.3531492084876</v>
      </c>
      <c r="E15">
        <f t="shared" si="1"/>
        <v>11743.611691782831</v>
      </c>
      <c r="F15">
        <v>247.24</v>
      </c>
      <c r="G15">
        <f t="shared" si="2"/>
        <v>392.39434370212626</v>
      </c>
      <c r="H15">
        <v>10.88</v>
      </c>
      <c r="I15">
        <f t="shared" si="3"/>
        <v>5804.92</v>
      </c>
      <c r="J15">
        <f t="shared" si="4"/>
        <v>9212.9824204956585</v>
      </c>
      <c r="K15">
        <f t="shared" si="5"/>
        <v>420.72160000000002</v>
      </c>
      <c r="L15">
        <f t="shared" si="6"/>
        <v>667.72680841817055</v>
      </c>
      <c r="M15" s="1">
        <f t="shared" si="7"/>
        <v>7.2476726638782282E-2</v>
      </c>
      <c r="N15" s="1">
        <f t="shared" si="8"/>
        <v>7.2476726638782282E-2</v>
      </c>
      <c r="O15" s="4">
        <f t="shared" si="9"/>
        <v>1.9215133260313981</v>
      </c>
      <c r="P15" s="4">
        <f t="shared" si="10"/>
        <v>1.9215133260313981</v>
      </c>
      <c r="Q15">
        <f t="shared" si="11"/>
        <v>2191.2000000000003</v>
      </c>
      <c r="R15">
        <f t="shared" si="12"/>
        <v>3477.6512130727197</v>
      </c>
      <c r="S15">
        <f>B15/T15</f>
        <v>57.645399780941943</v>
      </c>
      <c r="T15">
        <v>73.040000000000006</v>
      </c>
      <c r="U15">
        <v>92.039000000000001</v>
      </c>
    </row>
    <row r="16" spans="1:21" x14ac:dyDescent="0.25">
      <c r="A16">
        <v>2016</v>
      </c>
      <c r="B16">
        <v>7399.43</v>
      </c>
      <c r="C16">
        <v>8601.5</v>
      </c>
      <c r="D16">
        <f t="shared" si="0"/>
        <v>11743.627562772303</v>
      </c>
      <c r="E16">
        <f t="shared" si="1"/>
        <v>13651.431594215495</v>
      </c>
      <c r="F16">
        <v>594.21</v>
      </c>
      <c r="G16">
        <f t="shared" si="2"/>
        <v>943.07006540705572</v>
      </c>
      <c r="H16">
        <v>16</v>
      </c>
      <c r="I16">
        <f t="shared" si="3"/>
        <v>8000.4650000000001</v>
      </c>
      <c r="J16">
        <f t="shared" si="4"/>
        <v>12697.529578493899</v>
      </c>
      <c r="K16">
        <f t="shared" si="5"/>
        <v>690.37560000000008</v>
      </c>
      <c r="L16">
        <f t="shared" si="6"/>
        <v>1095.6943879225112</v>
      </c>
      <c r="M16" s="1">
        <f t="shared" si="7"/>
        <v>8.6291934281319913E-2</v>
      </c>
      <c r="N16" s="1">
        <f t="shared" si="8"/>
        <v>8.6291934281319899E-2</v>
      </c>
      <c r="O16" s="4">
        <f t="shared" si="9"/>
        <v>3.3768848119751733</v>
      </c>
      <c r="P16" s="4">
        <f t="shared" si="10"/>
        <v>3.3768848119751729</v>
      </c>
      <c r="Q16">
        <f t="shared" si="11"/>
        <v>2191.2000000000003</v>
      </c>
      <c r="R16">
        <f t="shared" si="12"/>
        <v>3477.6512130727197</v>
      </c>
      <c r="S16">
        <f>B16/T16</f>
        <v>101.3065443592552</v>
      </c>
      <c r="T16">
        <v>73.040000000000006</v>
      </c>
      <c r="U16">
        <v>92.039000000000001</v>
      </c>
    </row>
    <row r="17" spans="1:21" x14ac:dyDescent="0.25">
      <c r="A17">
        <v>2016</v>
      </c>
      <c r="B17">
        <v>8601.51</v>
      </c>
      <c r="C17">
        <v>10298.35</v>
      </c>
      <c r="D17">
        <f t="shared" si="0"/>
        <v>13651.447465204967</v>
      </c>
      <c r="E17">
        <f t="shared" si="1"/>
        <v>16344.500442747096</v>
      </c>
      <c r="F17">
        <v>786.54</v>
      </c>
      <c r="G17">
        <f t="shared" si="2"/>
        <v>1248.3168059192299</v>
      </c>
      <c r="H17">
        <v>17.920000000000002</v>
      </c>
      <c r="I17">
        <f t="shared" si="3"/>
        <v>9449.93</v>
      </c>
      <c r="J17">
        <f t="shared" si="4"/>
        <v>14997.973953976032</v>
      </c>
      <c r="K17">
        <f t="shared" si="5"/>
        <v>938.576864</v>
      </c>
      <c r="L17">
        <f t="shared" si="6"/>
        <v>1489.6143527070046</v>
      </c>
      <c r="M17" s="1">
        <f t="shared" si="7"/>
        <v>9.9321038780181434E-2</v>
      </c>
      <c r="N17" s="1">
        <f t="shared" si="8"/>
        <v>9.9321038780181434E-2</v>
      </c>
      <c r="O17" s="4">
        <f t="shared" si="9"/>
        <v>3.925479189485213</v>
      </c>
      <c r="P17" s="4">
        <f t="shared" si="10"/>
        <v>3.925479189485213</v>
      </c>
      <c r="Q17">
        <f t="shared" si="11"/>
        <v>2191.2000000000003</v>
      </c>
      <c r="R17">
        <f t="shared" si="12"/>
        <v>3477.6512130727197</v>
      </c>
      <c r="S17">
        <f>B17/T17</f>
        <v>117.7643756845564</v>
      </c>
      <c r="T17">
        <v>73.040000000000006</v>
      </c>
      <c r="U17">
        <v>92.039000000000001</v>
      </c>
    </row>
    <row r="18" spans="1:21" x14ac:dyDescent="0.25">
      <c r="A18">
        <v>2016</v>
      </c>
      <c r="B18">
        <v>10298.36</v>
      </c>
      <c r="C18">
        <v>20770.29</v>
      </c>
      <c r="D18">
        <f t="shared" si="0"/>
        <v>16344.516313736569</v>
      </c>
      <c r="E18">
        <f t="shared" si="1"/>
        <v>32964.505391736115</v>
      </c>
      <c r="F18">
        <v>1090.6099999999999</v>
      </c>
      <c r="G18">
        <f t="shared" si="2"/>
        <v>1730.9059827899041</v>
      </c>
      <c r="H18">
        <v>21.36</v>
      </c>
      <c r="I18">
        <f t="shared" si="3"/>
        <v>15534.325000000001</v>
      </c>
      <c r="J18">
        <f t="shared" si="4"/>
        <v>24654.510852736341</v>
      </c>
      <c r="K18">
        <f t="shared" si="5"/>
        <v>2209.0121239999999</v>
      </c>
      <c r="L18">
        <f t="shared" si="6"/>
        <v>3505.9208163202552</v>
      </c>
      <c r="M18" s="1">
        <f t="shared" si="7"/>
        <v>0.14220200259747365</v>
      </c>
      <c r="N18" s="1">
        <f t="shared" si="8"/>
        <v>0.14220200259747365</v>
      </c>
      <c r="O18" s="4">
        <f t="shared" si="9"/>
        <v>4.6998722161372761</v>
      </c>
      <c r="P18" s="4">
        <f t="shared" si="10"/>
        <v>4.6998722161372761</v>
      </c>
      <c r="Q18">
        <f t="shared" si="11"/>
        <v>2191.2000000000003</v>
      </c>
      <c r="R18">
        <f t="shared" si="12"/>
        <v>3477.6512130727197</v>
      </c>
      <c r="S18">
        <f>B18/T18</f>
        <v>140.99616648411828</v>
      </c>
      <c r="T18">
        <v>73.040000000000006</v>
      </c>
      <c r="U18">
        <v>92.039000000000001</v>
      </c>
    </row>
    <row r="19" spans="1:21" x14ac:dyDescent="0.25">
      <c r="A19">
        <v>2016</v>
      </c>
      <c r="B19">
        <v>20770.3</v>
      </c>
      <c r="C19">
        <v>32736.83</v>
      </c>
      <c r="D19">
        <f t="shared" si="0"/>
        <v>32964.521262725582</v>
      </c>
      <c r="E19">
        <f t="shared" si="1"/>
        <v>51956.588427188479</v>
      </c>
      <c r="F19">
        <v>3327.42</v>
      </c>
      <c r="G19">
        <f t="shared" si="2"/>
        <v>5280.944778843751</v>
      </c>
      <c r="H19">
        <v>23.52</v>
      </c>
      <c r="I19">
        <f t="shared" si="3"/>
        <v>26753.565000000002</v>
      </c>
      <c r="J19">
        <f t="shared" si="4"/>
        <v>42460.554844957034</v>
      </c>
      <c r="K19">
        <f t="shared" si="5"/>
        <v>4734.6839280000004</v>
      </c>
      <c r="L19">
        <f t="shared" si="6"/>
        <v>7514.4118773845876</v>
      </c>
      <c r="M19" s="1">
        <f t="shared" si="7"/>
        <v>0.17697394451916967</v>
      </c>
      <c r="N19" s="1">
        <f t="shared" si="8"/>
        <v>0.17697394451916967</v>
      </c>
      <c r="O19" s="4">
        <f t="shared" si="9"/>
        <v>9.4789612997444301</v>
      </c>
      <c r="P19" s="4">
        <f t="shared" si="10"/>
        <v>9.4789612997444301</v>
      </c>
      <c r="Q19">
        <f t="shared" si="11"/>
        <v>2191.2000000000003</v>
      </c>
      <c r="R19">
        <f t="shared" si="12"/>
        <v>3477.6512130727197</v>
      </c>
      <c r="S19">
        <f>B19/T19</f>
        <v>284.36883899233294</v>
      </c>
      <c r="T19">
        <v>73.040000000000006</v>
      </c>
      <c r="U19">
        <v>92.039000000000001</v>
      </c>
    </row>
    <row r="20" spans="1:21" x14ac:dyDescent="0.25">
      <c r="A20">
        <v>2016</v>
      </c>
      <c r="B20">
        <v>32736.84</v>
      </c>
      <c r="C20">
        <v>62500</v>
      </c>
      <c r="D20">
        <f t="shared" si="0"/>
        <v>51956.604298177946</v>
      </c>
      <c r="E20">
        <f t="shared" si="1"/>
        <v>99193.684199089519</v>
      </c>
      <c r="F20">
        <v>6141.95</v>
      </c>
      <c r="G20">
        <f t="shared" si="2"/>
        <v>9747.8823786655648</v>
      </c>
      <c r="H20">
        <v>30</v>
      </c>
      <c r="I20">
        <f t="shared" si="3"/>
        <v>47618.42</v>
      </c>
      <c r="J20">
        <f t="shared" si="4"/>
        <v>75575.144248633733</v>
      </c>
      <c r="K20">
        <f t="shared" si="5"/>
        <v>10606.423999999999</v>
      </c>
      <c r="L20">
        <f t="shared" si="6"/>
        <v>16833.4443638023</v>
      </c>
      <c r="M20" s="1">
        <f t="shared" si="7"/>
        <v>0.22273783968472705</v>
      </c>
      <c r="N20" s="1">
        <f t="shared" si="8"/>
        <v>0.22273783968472702</v>
      </c>
      <c r="O20" s="4">
        <f t="shared" si="9"/>
        <v>14.940142387732747</v>
      </c>
      <c r="P20" s="4">
        <f t="shared" si="10"/>
        <v>14.940142387732747</v>
      </c>
      <c r="Q20">
        <f t="shared" si="11"/>
        <v>2191.2000000000003</v>
      </c>
      <c r="R20">
        <f t="shared" si="12"/>
        <v>3477.6512130727197</v>
      </c>
      <c r="S20">
        <f>B20/T20</f>
        <v>448.20427163198246</v>
      </c>
      <c r="T20">
        <v>73.040000000000006</v>
      </c>
      <c r="U20">
        <v>92.039000000000001</v>
      </c>
    </row>
    <row r="21" spans="1:21" x14ac:dyDescent="0.25">
      <c r="A21">
        <v>2016</v>
      </c>
      <c r="B21">
        <v>62500.01</v>
      </c>
      <c r="C21">
        <v>83333.33</v>
      </c>
      <c r="D21">
        <f t="shared" si="0"/>
        <v>99193.700070078994</v>
      </c>
      <c r="E21">
        <f t="shared" si="1"/>
        <v>132258.24030845621</v>
      </c>
      <c r="F21">
        <v>15070.9</v>
      </c>
      <c r="G21">
        <f t="shared" si="2"/>
        <v>23919.009523136931</v>
      </c>
      <c r="H21">
        <v>32</v>
      </c>
      <c r="I21">
        <f t="shared" si="3"/>
        <v>72916.67</v>
      </c>
      <c r="J21">
        <f t="shared" si="4"/>
        <v>115725.97018926758</v>
      </c>
      <c r="K21">
        <f t="shared" si="5"/>
        <v>18404.231199999998</v>
      </c>
      <c r="L21">
        <f t="shared" si="6"/>
        <v>29209.33596127728</v>
      </c>
      <c r="M21" s="1">
        <f t="shared" si="7"/>
        <v>0.25240087349024576</v>
      </c>
      <c r="N21" s="1">
        <f t="shared" si="8"/>
        <v>0.25240087349024576</v>
      </c>
      <c r="O21" s="4">
        <f t="shared" si="9"/>
        <v>28.52318820737495</v>
      </c>
      <c r="P21" s="4">
        <f t="shared" si="10"/>
        <v>28.52318820737495</v>
      </c>
      <c r="Q21">
        <f t="shared" si="11"/>
        <v>2191.2000000000003</v>
      </c>
      <c r="R21">
        <f t="shared" si="12"/>
        <v>3477.6512130727197</v>
      </c>
      <c r="S21">
        <f>B21/T21</f>
        <v>855.69564622124858</v>
      </c>
      <c r="T21">
        <v>73.040000000000006</v>
      </c>
      <c r="U21">
        <v>92.039000000000001</v>
      </c>
    </row>
    <row r="22" spans="1:21" x14ac:dyDescent="0.25">
      <c r="A22">
        <v>2016</v>
      </c>
      <c r="B22">
        <v>83333.34</v>
      </c>
      <c r="C22">
        <v>250000</v>
      </c>
      <c r="D22">
        <f t="shared" si="0"/>
        <v>132258.25617944566</v>
      </c>
      <c r="E22">
        <f t="shared" si="1"/>
        <v>396774.73679635808</v>
      </c>
      <c r="F22">
        <v>21737.57</v>
      </c>
      <c r="G22">
        <f t="shared" si="2"/>
        <v>34499.674461369636</v>
      </c>
      <c r="H22">
        <v>34</v>
      </c>
      <c r="I22">
        <f t="shared" si="3"/>
        <v>166666.66999999998</v>
      </c>
      <c r="J22">
        <f t="shared" si="4"/>
        <v>264516.49648790184</v>
      </c>
      <c r="K22">
        <f t="shared" si="5"/>
        <v>50070.902199999997</v>
      </c>
      <c r="L22">
        <f t="shared" si="6"/>
        <v>79467.476166244742</v>
      </c>
      <c r="M22" s="1">
        <f t="shared" si="7"/>
        <v>0.30042540719149186</v>
      </c>
      <c r="N22" s="1">
        <f t="shared" si="8"/>
        <v>0.30042540719149186</v>
      </c>
      <c r="O22" s="4">
        <f t="shared" si="9"/>
        <v>38.030914567360341</v>
      </c>
      <c r="P22" s="4">
        <f t="shared" si="10"/>
        <v>38.030914567360341</v>
      </c>
      <c r="Q22">
        <f t="shared" si="11"/>
        <v>2191.2000000000003</v>
      </c>
      <c r="R22">
        <f t="shared" si="12"/>
        <v>3477.6512130727197</v>
      </c>
      <c r="S22">
        <f>B22/T22</f>
        <v>1140.9274370208104</v>
      </c>
      <c r="T22">
        <v>73.040000000000006</v>
      </c>
      <c r="U22">
        <v>92.039000000000001</v>
      </c>
    </row>
    <row r="23" spans="1:21" x14ac:dyDescent="0.25">
      <c r="A23" s="2">
        <v>2016</v>
      </c>
      <c r="B23" s="2">
        <v>250000.01</v>
      </c>
      <c r="C23" s="2"/>
      <c r="D23">
        <f t="shared" si="0"/>
        <v>396774.75266734755</v>
      </c>
      <c r="E23">
        <f t="shared" si="1"/>
        <v>0</v>
      </c>
      <c r="F23" s="2">
        <v>78404.23</v>
      </c>
      <c r="G23">
        <f t="shared" si="2"/>
        <v>124435.27088788447</v>
      </c>
      <c r="H23" s="2">
        <v>35</v>
      </c>
      <c r="I23" s="2">
        <f>B23*1.5</f>
        <v>375000.01500000001</v>
      </c>
      <c r="J23">
        <f t="shared" si="4"/>
        <v>595162.12900102127</v>
      </c>
      <c r="K23" s="2">
        <f t="shared" si="5"/>
        <v>122154.23174999999</v>
      </c>
      <c r="L23">
        <f t="shared" si="6"/>
        <v>193870.85260467028</v>
      </c>
      <c r="M23" s="3">
        <f t="shared" si="7"/>
        <v>0.32574460497021579</v>
      </c>
      <c r="N23" s="1">
        <f t="shared" si="8"/>
        <v>0.32574460497021579</v>
      </c>
      <c r="O23" s="4">
        <f t="shared" si="9"/>
        <v>114.09273913837166</v>
      </c>
      <c r="P23" s="4">
        <f t="shared" si="10"/>
        <v>114.09273913837166</v>
      </c>
      <c r="Q23">
        <f t="shared" si="11"/>
        <v>2191.2000000000003</v>
      </c>
      <c r="R23">
        <f t="shared" si="12"/>
        <v>3477.6512130727197</v>
      </c>
      <c r="S23" s="2">
        <f>B23/T23</f>
        <v>3422.7821741511498</v>
      </c>
      <c r="T23" s="2">
        <v>73.040000000000006</v>
      </c>
      <c r="U23">
        <v>92.039000000000001</v>
      </c>
    </row>
    <row r="24" spans="1:21" x14ac:dyDescent="0.25">
      <c r="A24">
        <v>2017</v>
      </c>
      <c r="B24">
        <v>0.01</v>
      </c>
      <c r="C24">
        <v>496.07</v>
      </c>
      <c r="D24">
        <f t="shared" si="0"/>
        <v>1.4864235068096155E-2</v>
      </c>
      <c r="E24">
        <f t="shared" si="1"/>
        <v>737.37010902304587</v>
      </c>
      <c r="F24">
        <v>0</v>
      </c>
      <c r="G24">
        <f t="shared" si="2"/>
        <v>0</v>
      </c>
      <c r="H24">
        <v>1.92</v>
      </c>
      <c r="I24">
        <f t="shared" si="3"/>
        <v>248.04</v>
      </c>
      <c r="J24">
        <f t="shared" si="4"/>
        <v>368.69248662905699</v>
      </c>
      <c r="K24">
        <f t="shared" si="5"/>
        <v>4.7621759999999993</v>
      </c>
      <c r="L24">
        <f t="shared" si="6"/>
        <v>7.0786103499645865</v>
      </c>
      <c r="M24" s="1">
        <f t="shared" si="7"/>
        <v>1.9199225931301401E-2</v>
      </c>
      <c r="N24" s="1">
        <f t="shared" si="8"/>
        <v>1.9199225931301401E-2</v>
      </c>
      <c r="O24" s="4">
        <f t="shared" si="9"/>
        <v>4.1645843744794268E-6</v>
      </c>
      <c r="P24" s="4">
        <f t="shared" si="10"/>
        <v>4.1645843744794268E-6</v>
      </c>
      <c r="Q24">
        <f t="shared" si="11"/>
        <v>2401.2000000000003</v>
      </c>
      <c r="R24">
        <f t="shared" si="12"/>
        <v>3569.2001245512488</v>
      </c>
      <c r="S24">
        <f>B24/T24</f>
        <v>1.249375312343828E-4</v>
      </c>
      <c r="T24">
        <v>80.040000000000006</v>
      </c>
      <c r="U24">
        <v>98.272800000000004</v>
      </c>
    </row>
    <row r="25" spans="1:21" x14ac:dyDescent="0.25">
      <c r="A25">
        <v>2017</v>
      </c>
      <c r="B25">
        <v>496.08</v>
      </c>
      <c r="C25">
        <v>4210.41</v>
      </c>
      <c r="D25">
        <f t="shared" si="0"/>
        <v>737.38497325811397</v>
      </c>
      <c r="E25">
        <f t="shared" si="1"/>
        <v>6258.4523973062724</v>
      </c>
      <c r="F25">
        <v>9.52</v>
      </c>
      <c r="G25">
        <f t="shared" si="2"/>
        <v>14.150751784827538</v>
      </c>
      <c r="H25">
        <v>6.4</v>
      </c>
      <c r="I25">
        <f t="shared" si="3"/>
        <v>2353.2449999999999</v>
      </c>
      <c r="J25">
        <f t="shared" si="4"/>
        <v>3497.9186852821931</v>
      </c>
      <c r="K25">
        <f t="shared" si="5"/>
        <v>128.37855999999999</v>
      </c>
      <c r="L25">
        <f t="shared" si="6"/>
        <v>190.8249093543686</v>
      </c>
      <c r="M25" s="1">
        <f t="shared" si="7"/>
        <v>5.4553843734927727E-2</v>
      </c>
      <c r="N25" s="1">
        <f t="shared" si="8"/>
        <v>5.4553843734927727E-2</v>
      </c>
      <c r="O25" s="4">
        <f t="shared" si="9"/>
        <v>0.20659670164917537</v>
      </c>
      <c r="P25" s="4">
        <f t="shared" si="10"/>
        <v>0.20659670164917537</v>
      </c>
      <c r="Q25">
        <f t="shared" si="11"/>
        <v>2401.2000000000003</v>
      </c>
      <c r="R25">
        <f t="shared" si="12"/>
        <v>3569.2001245512488</v>
      </c>
      <c r="S25">
        <f>B25/T25</f>
        <v>6.197901049475262</v>
      </c>
      <c r="T25">
        <v>80.040000000000006</v>
      </c>
      <c r="U25">
        <v>98.272800000000004</v>
      </c>
    </row>
    <row r="26" spans="1:21" x14ac:dyDescent="0.25">
      <c r="A26">
        <v>2017</v>
      </c>
      <c r="B26">
        <v>4210.42</v>
      </c>
      <c r="C26">
        <v>7399.42</v>
      </c>
      <c r="D26">
        <f t="shared" si="0"/>
        <v>6258.467261541341</v>
      </c>
      <c r="E26">
        <f t="shared" si="1"/>
        <v>10998.671824757204</v>
      </c>
      <c r="F26">
        <v>247.24</v>
      </c>
      <c r="G26">
        <f t="shared" si="2"/>
        <v>367.50334782360932</v>
      </c>
      <c r="H26">
        <v>10.88</v>
      </c>
      <c r="I26">
        <f t="shared" si="3"/>
        <v>5804.92</v>
      </c>
      <c r="J26">
        <f t="shared" si="4"/>
        <v>8628.5695431492732</v>
      </c>
      <c r="K26">
        <f t="shared" si="5"/>
        <v>420.72160000000002</v>
      </c>
      <c r="L26">
        <f t="shared" si="6"/>
        <v>625.37047606255237</v>
      </c>
      <c r="M26" s="1">
        <f t="shared" si="7"/>
        <v>7.2476726638782282E-2</v>
      </c>
      <c r="N26" s="1">
        <f t="shared" si="8"/>
        <v>7.2476726638782282E-2</v>
      </c>
      <c r="O26" s="4">
        <f t="shared" si="9"/>
        <v>1.7534649341995667</v>
      </c>
      <c r="P26" s="4">
        <f t="shared" si="10"/>
        <v>1.7534649341995667</v>
      </c>
      <c r="Q26">
        <f t="shared" si="11"/>
        <v>2401.2000000000003</v>
      </c>
      <c r="R26">
        <f t="shared" si="12"/>
        <v>3569.2001245512488</v>
      </c>
      <c r="S26">
        <f>B26/T26</f>
        <v>52.603948025987002</v>
      </c>
      <c r="T26">
        <v>80.040000000000006</v>
      </c>
      <c r="U26">
        <v>98.272800000000004</v>
      </c>
    </row>
    <row r="27" spans="1:21" x14ac:dyDescent="0.25">
      <c r="A27">
        <v>2017</v>
      </c>
      <c r="B27">
        <v>7399.43</v>
      </c>
      <c r="C27">
        <v>8601.5</v>
      </c>
      <c r="D27">
        <f t="shared" si="0"/>
        <v>10998.686688992273</v>
      </c>
      <c r="E27">
        <f t="shared" si="1"/>
        <v>12785.471793822908</v>
      </c>
      <c r="F27">
        <v>594.21</v>
      </c>
      <c r="G27">
        <f t="shared" si="2"/>
        <v>883.24771198134169</v>
      </c>
      <c r="H27">
        <v>16</v>
      </c>
      <c r="I27">
        <f t="shared" si="3"/>
        <v>8000.4650000000001</v>
      </c>
      <c r="J27">
        <f t="shared" si="4"/>
        <v>11892.07924140759</v>
      </c>
      <c r="K27">
        <f t="shared" si="5"/>
        <v>690.37560000000008</v>
      </c>
      <c r="L27">
        <f t="shared" si="6"/>
        <v>1026.1905203677925</v>
      </c>
      <c r="M27" s="1">
        <f t="shared" si="7"/>
        <v>8.6291934281319913E-2</v>
      </c>
      <c r="N27" s="1">
        <f t="shared" si="8"/>
        <v>8.6291934281319913E-2</v>
      </c>
      <c r="O27" s="4">
        <f t="shared" si="9"/>
        <v>3.0815550558054303</v>
      </c>
      <c r="P27" s="4">
        <f t="shared" si="10"/>
        <v>3.0815550558054303</v>
      </c>
      <c r="Q27">
        <f t="shared" si="11"/>
        <v>2401.2000000000003</v>
      </c>
      <c r="R27">
        <f t="shared" si="12"/>
        <v>3569.2001245512488</v>
      </c>
      <c r="S27">
        <f>B27/T27</f>
        <v>92.446651674162922</v>
      </c>
      <c r="T27">
        <v>80.040000000000006</v>
      </c>
      <c r="U27">
        <v>98.272800000000004</v>
      </c>
    </row>
    <row r="28" spans="1:21" x14ac:dyDescent="0.25">
      <c r="A28">
        <v>2017</v>
      </c>
      <c r="B28">
        <v>8601.51</v>
      </c>
      <c r="C28">
        <v>10298.35</v>
      </c>
      <c r="D28">
        <f t="shared" si="0"/>
        <v>12785.486658057976</v>
      </c>
      <c r="E28">
        <f t="shared" si="1"/>
        <v>15307.709521352803</v>
      </c>
      <c r="F28">
        <v>786.54</v>
      </c>
      <c r="G28">
        <f t="shared" si="2"/>
        <v>1169.1315450460349</v>
      </c>
      <c r="H28">
        <v>17.920000000000002</v>
      </c>
      <c r="I28">
        <f t="shared" si="3"/>
        <v>9449.93</v>
      </c>
      <c r="J28">
        <f t="shared" si="4"/>
        <v>14046.598089705391</v>
      </c>
      <c r="K28">
        <f t="shared" si="5"/>
        <v>938.576864</v>
      </c>
      <c r="L28">
        <f t="shared" si="6"/>
        <v>1395.1227135972515</v>
      </c>
      <c r="M28" s="1">
        <f t="shared" si="7"/>
        <v>9.9321038780181434E-2</v>
      </c>
      <c r="N28" s="1">
        <f t="shared" si="8"/>
        <v>9.9321038780181434E-2</v>
      </c>
      <c r="O28" s="4">
        <f t="shared" si="9"/>
        <v>3.5821714142928531</v>
      </c>
      <c r="P28" s="4">
        <f t="shared" si="10"/>
        <v>3.5821714142928536</v>
      </c>
      <c r="Q28">
        <f t="shared" si="11"/>
        <v>2401.2000000000003</v>
      </c>
      <c r="R28">
        <f t="shared" si="12"/>
        <v>3569.2001245512488</v>
      </c>
      <c r="S28">
        <f>B28/T28</f>
        <v>107.4651424287856</v>
      </c>
      <c r="T28">
        <v>80.040000000000006</v>
      </c>
      <c r="U28">
        <v>98.272800000000004</v>
      </c>
    </row>
    <row r="29" spans="1:21" x14ac:dyDescent="0.25">
      <c r="A29">
        <v>2017</v>
      </c>
      <c r="B29">
        <v>10298.36</v>
      </c>
      <c r="C29">
        <v>20770.29</v>
      </c>
      <c r="D29">
        <f t="shared" si="0"/>
        <v>15307.724385587871</v>
      </c>
      <c r="E29">
        <f t="shared" si="1"/>
        <v>30873.44729925269</v>
      </c>
      <c r="F29">
        <v>1090.6099999999999</v>
      </c>
      <c r="G29">
        <f t="shared" si="2"/>
        <v>1621.1083407616345</v>
      </c>
      <c r="H29">
        <v>21.36</v>
      </c>
      <c r="I29">
        <f t="shared" si="3"/>
        <v>15534.325000000001</v>
      </c>
      <c r="J29">
        <f t="shared" si="4"/>
        <v>23090.585842420282</v>
      </c>
      <c r="K29">
        <f t="shared" si="5"/>
        <v>2209.0121239999999</v>
      </c>
      <c r="L29">
        <f t="shared" si="6"/>
        <v>3283.527547941037</v>
      </c>
      <c r="M29" s="1">
        <f t="shared" si="7"/>
        <v>0.14220200259747365</v>
      </c>
      <c r="N29" s="1">
        <f t="shared" si="8"/>
        <v>0.14220200259747365</v>
      </c>
      <c r="O29" s="4">
        <f t="shared" si="9"/>
        <v>4.2888389138763952</v>
      </c>
      <c r="P29" s="4">
        <f t="shared" si="10"/>
        <v>4.2888389138763952</v>
      </c>
      <c r="Q29">
        <f t="shared" si="11"/>
        <v>2401.2000000000003</v>
      </c>
      <c r="R29">
        <f t="shared" si="12"/>
        <v>3569.2001245512488</v>
      </c>
      <c r="S29">
        <f>B29/T29</f>
        <v>128.66516741629187</v>
      </c>
      <c r="T29">
        <v>80.040000000000006</v>
      </c>
      <c r="U29">
        <v>98.272800000000004</v>
      </c>
    </row>
    <row r="30" spans="1:21" x14ac:dyDescent="0.25">
      <c r="A30">
        <v>2017</v>
      </c>
      <c r="B30">
        <v>20770.3</v>
      </c>
      <c r="C30">
        <v>32736.83</v>
      </c>
      <c r="D30">
        <f t="shared" si="0"/>
        <v>30873.462163487755</v>
      </c>
      <c r="E30">
        <f t="shared" si="1"/>
        <v>48660.793650430227</v>
      </c>
      <c r="F30">
        <v>3327.42</v>
      </c>
      <c r="G30">
        <f t="shared" si="2"/>
        <v>4945.9553050284503</v>
      </c>
      <c r="H30">
        <v>23.52</v>
      </c>
      <c r="I30">
        <f t="shared" si="3"/>
        <v>26753.565000000002</v>
      </c>
      <c r="J30">
        <f t="shared" si="4"/>
        <v>39767.127906958995</v>
      </c>
      <c r="K30">
        <f t="shared" si="5"/>
        <v>4734.6839280000004</v>
      </c>
      <c r="L30">
        <f t="shared" si="6"/>
        <v>7037.7454878928856</v>
      </c>
      <c r="M30" s="1">
        <f t="shared" si="7"/>
        <v>0.17697394451916967</v>
      </c>
      <c r="N30" s="1">
        <f t="shared" si="8"/>
        <v>0.17697394451916967</v>
      </c>
      <c r="O30" s="4">
        <f t="shared" si="9"/>
        <v>8.6499666833250028</v>
      </c>
      <c r="P30" s="4">
        <f t="shared" si="10"/>
        <v>8.6499666833250028</v>
      </c>
      <c r="Q30">
        <f t="shared" si="11"/>
        <v>2401.2000000000003</v>
      </c>
      <c r="R30">
        <f t="shared" si="12"/>
        <v>3569.2001245512488</v>
      </c>
      <c r="S30">
        <f>B30/T30</f>
        <v>259.49900049975008</v>
      </c>
      <c r="T30">
        <v>80.040000000000006</v>
      </c>
      <c r="U30">
        <v>98.272800000000004</v>
      </c>
    </row>
    <row r="31" spans="1:21" x14ac:dyDescent="0.25">
      <c r="A31">
        <v>2017</v>
      </c>
      <c r="B31">
        <v>32736.84</v>
      </c>
      <c r="C31">
        <v>62500</v>
      </c>
      <c r="D31">
        <f t="shared" si="0"/>
        <v>48660.808514665288</v>
      </c>
      <c r="E31">
        <f t="shared" si="1"/>
        <v>92901.469175600971</v>
      </c>
      <c r="F31">
        <v>6141.95</v>
      </c>
      <c r="G31">
        <f t="shared" si="2"/>
        <v>9129.5388576493169</v>
      </c>
      <c r="H31">
        <v>30</v>
      </c>
      <c r="I31">
        <f t="shared" si="3"/>
        <v>47618.42</v>
      </c>
      <c r="J31">
        <f t="shared" si="4"/>
        <v>70781.13884513313</v>
      </c>
      <c r="K31">
        <f t="shared" si="5"/>
        <v>10606.423999999999</v>
      </c>
      <c r="L31">
        <f t="shared" si="6"/>
        <v>15765.637956789667</v>
      </c>
      <c r="M31" s="1">
        <f t="shared" si="7"/>
        <v>0.22273783968472705</v>
      </c>
      <c r="N31" s="1">
        <f t="shared" si="8"/>
        <v>0.22273783968472702</v>
      </c>
      <c r="O31" s="4">
        <f t="shared" si="9"/>
        <v>13.633533233383307</v>
      </c>
      <c r="P31" s="4">
        <f t="shared" si="10"/>
        <v>13.633533233383307</v>
      </c>
      <c r="Q31">
        <f t="shared" si="11"/>
        <v>2401.2000000000003</v>
      </c>
      <c r="R31">
        <f t="shared" si="12"/>
        <v>3569.2001245512488</v>
      </c>
      <c r="S31">
        <f>B31/T31</f>
        <v>409.00599700149922</v>
      </c>
      <c r="T31">
        <v>80.040000000000006</v>
      </c>
      <c r="U31">
        <v>98.272800000000004</v>
      </c>
    </row>
    <row r="32" spans="1:21" x14ac:dyDescent="0.25">
      <c r="A32">
        <v>2017</v>
      </c>
      <c r="B32">
        <v>62500.01</v>
      </c>
      <c r="C32">
        <v>83333.33</v>
      </c>
      <c r="D32">
        <f t="shared" si="0"/>
        <v>92901.484039836039</v>
      </c>
      <c r="E32">
        <f t="shared" si="1"/>
        <v>123868.62061272294</v>
      </c>
      <c r="F32">
        <v>15070.9</v>
      </c>
      <c r="G32">
        <f t="shared" si="2"/>
        <v>22401.740028777032</v>
      </c>
      <c r="H32">
        <v>32</v>
      </c>
      <c r="I32">
        <f t="shared" si="3"/>
        <v>72916.67</v>
      </c>
      <c r="J32">
        <f t="shared" si="4"/>
        <v>108385.05232627947</v>
      </c>
      <c r="K32">
        <f t="shared" si="5"/>
        <v>18404.231199999998</v>
      </c>
      <c r="L32">
        <f t="shared" si="6"/>
        <v>27356.481880438936</v>
      </c>
      <c r="M32" s="1">
        <f t="shared" si="7"/>
        <v>0.25240087349024576</v>
      </c>
      <c r="N32" s="1">
        <f t="shared" si="8"/>
        <v>0.25240087349024581</v>
      </c>
      <c r="O32" s="4">
        <f t="shared" si="9"/>
        <v>26.028656505080789</v>
      </c>
      <c r="P32" s="4">
        <f t="shared" si="10"/>
        <v>26.028656505080793</v>
      </c>
      <c r="Q32">
        <f t="shared" si="11"/>
        <v>2401.2000000000003</v>
      </c>
      <c r="R32">
        <f t="shared" si="12"/>
        <v>3569.2001245512488</v>
      </c>
      <c r="S32">
        <f>B32/T32</f>
        <v>780.8596951524238</v>
      </c>
      <c r="T32">
        <v>80.040000000000006</v>
      </c>
      <c r="U32">
        <v>98.272800000000004</v>
      </c>
    </row>
    <row r="33" spans="1:21" x14ac:dyDescent="0.25">
      <c r="A33">
        <v>2017</v>
      </c>
      <c r="B33">
        <v>83333.34</v>
      </c>
      <c r="C33">
        <v>250000</v>
      </c>
      <c r="D33">
        <f t="shared" si="0"/>
        <v>123868.63547695799</v>
      </c>
      <c r="E33">
        <f t="shared" si="1"/>
        <v>371605.87670240388</v>
      </c>
      <c r="F33">
        <v>21737.57</v>
      </c>
      <c r="G33">
        <f t="shared" si="2"/>
        <v>32311.235028919491</v>
      </c>
      <c r="H33">
        <v>34</v>
      </c>
      <c r="I33">
        <f t="shared" si="3"/>
        <v>166666.66999999998</v>
      </c>
      <c r="J33">
        <f t="shared" si="4"/>
        <v>247737.25608968092</v>
      </c>
      <c r="K33">
        <f t="shared" si="5"/>
        <v>50070.902199999997</v>
      </c>
      <c r="L33">
        <f t="shared" si="6"/>
        <v>74426.566037245284</v>
      </c>
      <c r="M33" s="1">
        <f t="shared" si="7"/>
        <v>0.30042540719149186</v>
      </c>
      <c r="N33" s="1">
        <f t="shared" si="8"/>
        <v>0.30042540719149186</v>
      </c>
      <c r="O33" s="4">
        <f t="shared" si="9"/>
        <v>34.704872563718133</v>
      </c>
      <c r="P33" s="4">
        <f t="shared" si="10"/>
        <v>34.704872563718141</v>
      </c>
      <c r="Q33">
        <f t="shared" si="11"/>
        <v>2401.2000000000003</v>
      </c>
      <c r="R33">
        <f t="shared" si="12"/>
        <v>3569.2001245512488</v>
      </c>
      <c r="S33">
        <f>B33/T33</f>
        <v>1041.146176911544</v>
      </c>
      <c r="T33">
        <v>80.040000000000006</v>
      </c>
      <c r="U33">
        <v>98.272800000000004</v>
      </c>
    </row>
    <row r="34" spans="1:21" x14ac:dyDescent="0.25">
      <c r="A34" s="2">
        <v>2017</v>
      </c>
      <c r="B34" s="2">
        <v>250000.01</v>
      </c>
      <c r="C34" s="2"/>
      <c r="D34">
        <f t="shared" si="0"/>
        <v>371605.89156663895</v>
      </c>
      <c r="E34">
        <f t="shared" si="1"/>
        <v>0</v>
      </c>
      <c r="F34" s="2">
        <v>78404.23</v>
      </c>
      <c r="G34">
        <f t="shared" si="2"/>
        <v>116541.89050530765</v>
      </c>
      <c r="H34" s="2">
        <v>35</v>
      </c>
      <c r="I34" s="2">
        <f>B34*1.5</f>
        <v>375000.01500000001</v>
      </c>
      <c r="J34">
        <f t="shared" si="4"/>
        <v>557408.83734995837</v>
      </c>
      <c r="K34" s="2">
        <f t="shared" si="5"/>
        <v>122154.23174999999</v>
      </c>
      <c r="L34">
        <f t="shared" si="6"/>
        <v>181572.92152946946</v>
      </c>
      <c r="M34" s="3">
        <f t="shared" si="7"/>
        <v>0.32574460497021579</v>
      </c>
      <c r="N34" s="1">
        <f t="shared" si="8"/>
        <v>0.32574460497021579</v>
      </c>
      <c r="O34" s="4">
        <f t="shared" si="9"/>
        <v>104.11461352657004</v>
      </c>
      <c r="P34" s="4">
        <f t="shared" si="10"/>
        <v>104.11461352657005</v>
      </c>
      <c r="Q34">
        <f t="shared" si="11"/>
        <v>2401.2000000000003</v>
      </c>
      <c r="R34">
        <f t="shared" si="12"/>
        <v>3569.2001245512488</v>
      </c>
      <c r="S34" s="2">
        <f>B34/T34</f>
        <v>3123.4384057971015</v>
      </c>
      <c r="T34" s="2">
        <v>80.040000000000006</v>
      </c>
      <c r="U34">
        <v>98.272800000000004</v>
      </c>
    </row>
    <row r="35" spans="1:21" x14ac:dyDescent="0.25">
      <c r="A35">
        <v>2018</v>
      </c>
      <c r="B35">
        <v>0.01</v>
      </c>
      <c r="C35">
        <v>578.52</v>
      </c>
      <c r="D35">
        <f t="shared" si="0"/>
        <v>1.4179285575616386E-2</v>
      </c>
      <c r="E35">
        <f t="shared" si="1"/>
        <v>820.30002912055909</v>
      </c>
      <c r="F35">
        <v>0</v>
      </c>
      <c r="G35">
        <f t="shared" si="2"/>
        <v>0</v>
      </c>
      <c r="H35">
        <v>1.92</v>
      </c>
      <c r="I35">
        <f t="shared" si="3"/>
        <v>289.26499999999999</v>
      </c>
      <c r="J35">
        <f t="shared" si="4"/>
        <v>410.15710420306732</v>
      </c>
      <c r="K35">
        <f t="shared" si="5"/>
        <v>5.5536959999999995</v>
      </c>
      <c r="L35">
        <f t="shared" si="6"/>
        <v>7.8747441584158411</v>
      </c>
      <c r="M35" s="1">
        <f t="shared" si="7"/>
        <v>1.919933624876843E-2</v>
      </c>
      <c r="N35" s="1">
        <f t="shared" si="8"/>
        <v>1.919933624876843E-2</v>
      </c>
      <c r="O35" s="4">
        <f t="shared" si="9"/>
        <v>3.7724460540214275E-6</v>
      </c>
      <c r="P35" s="4">
        <f t="shared" si="10"/>
        <v>3.7724460540214275E-6</v>
      </c>
      <c r="Q35">
        <f t="shared" si="11"/>
        <v>2650.8</v>
      </c>
      <c r="R35">
        <f t="shared" si="12"/>
        <v>3758.6450203843915</v>
      </c>
      <c r="S35">
        <f>B35/T35</f>
        <v>1.1317338162064282E-4</v>
      </c>
      <c r="T35">
        <v>88.36</v>
      </c>
      <c r="U35">
        <v>103.02</v>
      </c>
    </row>
    <row r="36" spans="1:21" x14ac:dyDescent="0.25">
      <c r="A36">
        <v>2018</v>
      </c>
      <c r="B36">
        <v>578.53</v>
      </c>
      <c r="C36">
        <v>4910.18</v>
      </c>
      <c r="D36">
        <f t="shared" si="0"/>
        <v>820.31420840613464</v>
      </c>
      <c r="E36">
        <f t="shared" si="1"/>
        <v>6962.2844447680063</v>
      </c>
      <c r="F36">
        <v>11.11</v>
      </c>
      <c r="G36">
        <f t="shared" si="2"/>
        <v>15.753186274509803</v>
      </c>
      <c r="H36">
        <v>6.4</v>
      </c>
      <c r="I36">
        <f t="shared" si="3"/>
        <v>2744.355</v>
      </c>
      <c r="J36">
        <f t="shared" si="4"/>
        <v>3891.2993265870705</v>
      </c>
      <c r="K36">
        <f t="shared" si="5"/>
        <v>149.72280000000001</v>
      </c>
      <c r="L36">
        <f t="shared" si="6"/>
        <v>212.29623383808971</v>
      </c>
      <c r="M36" s="1">
        <f t="shared" si="7"/>
        <v>5.4556644457440823E-2</v>
      </c>
      <c r="N36" s="1">
        <f t="shared" si="8"/>
        <v>5.4556644457440823E-2</v>
      </c>
      <c r="O36" s="4">
        <f t="shared" si="9"/>
        <v>0.21824732156330162</v>
      </c>
      <c r="P36" s="4">
        <f t="shared" si="10"/>
        <v>0.21824732156330162</v>
      </c>
      <c r="Q36">
        <f t="shared" si="11"/>
        <v>2650.8</v>
      </c>
      <c r="R36">
        <f t="shared" si="12"/>
        <v>3758.6450203843915</v>
      </c>
      <c r="S36">
        <f>B36/T36</f>
        <v>6.5474196468990487</v>
      </c>
      <c r="T36">
        <v>88.36</v>
      </c>
      <c r="U36">
        <v>103.02</v>
      </c>
    </row>
    <row r="37" spans="1:21" x14ac:dyDescent="0.25">
      <c r="A37">
        <v>2018</v>
      </c>
      <c r="B37">
        <v>4910.1899999999996</v>
      </c>
      <c r="C37">
        <v>8629.2000000000007</v>
      </c>
      <c r="D37">
        <f t="shared" si="0"/>
        <v>6962.2986240535811</v>
      </c>
      <c r="E37">
        <f t="shared" si="1"/>
        <v>12235.589108910892</v>
      </c>
      <c r="F37">
        <v>288.33</v>
      </c>
      <c r="G37">
        <f t="shared" si="2"/>
        <v>408.83134100174721</v>
      </c>
      <c r="H37">
        <v>10.88</v>
      </c>
      <c r="I37">
        <f t="shared" si="3"/>
        <v>6769.6949999999997</v>
      </c>
      <c r="J37">
        <f t="shared" si="4"/>
        <v>9598.9438664822355</v>
      </c>
      <c r="K37">
        <f t="shared" si="5"/>
        <v>490.64414399999998</v>
      </c>
      <c r="L37">
        <f t="shared" si="6"/>
        <v>695.69834337798477</v>
      </c>
      <c r="M37" s="1">
        <f t="shared" si="7"/>
        <v>7.2476550863812925E-2</v>
      </c>
      <c r="N37" s="1">
        <f t="shared" si="8"/>
        <v>7.2476550863812911E-2</v>
      </c>
      <c r="O37" s="4">
        <f t="shared" si="9"/>
        <v>1.8523426889995471</v>
      </c>
      <c r="P37" s="4">
        <f t="shared" si="10"/>
        <v>1.8523426889995471</v>
      </c>
      <c r="Q37">
        <f t="shared" si="11"/>
        <v>2650.8</v>
      </c>
      <c r="R37">
        <f t="shared" si="12"/>
        <v>3758.6450203843915</v>
      </c>
      <c r="S37">
        <f>B37/T37</f>
        <v>55.570280669986417</v>
      </c>
      <c r="T37">
        <v>88.36</v>
      </c>
      <c r="U37">
        <v>103.02</v>
      </c>
    </row>
    <row r="38" spans="1:21" x14ac:dyDescent="0.25">
      <c r="A38">
        <v>2018</v>
      </c>
      <c r="B38">
        <v>8629.2099999999991</v>
      </c>
      <c r="C38">
        <v>10031.07</v>
      </c>
      <c r="D38">
        <f t="shared" si="0"/>
        <v>12235.603288196466</v>
      </c>
      <c r="E38">
        <f t="shared" si="1"/>
        <v>14223.340615899824</v>
      </c>
      <c r="F38">
        <v>692.96</v>
      </c>
      <c r="G38">
        <f t="shared" si="2"/>
        <v>982.56777324791301</v>
      </c>
      <c r="H38">
        <v>16</v>
      </c>
      <c r="I38">
        <f t="shared" si="3"/>
        <v>9330.14</v>
      </c>
      <c r="J38">
        <f t="shared" si="4"/>
        <v>13229.471952048145</v>
      </c>
      <c r="K38">
        <f t="shared" si="5"/>
        <v>805.10880000000009</v>
      </c>
      <c r="L38">
        <f t="shared" si="6"/>
        <v>1141.5867594641818</v>
      </c>
      <c r="M38" s="1">
        <f t="shared" si="7"/>
        <v>8.6291181054089242E-2</v>
      </c>
      <c r="N38" s="1">
        <f t="shared" si="8"/>
        <v>8.6291181054089228E-2</v>
      </c>
      <c r="O38" s="4">
        <f t="shared" si="9"/>
        <v>3.2553229213822239</v>
      </c>
      <c r="P38" s="4">
        <f t="shared" si="10"/>
        <v>3.2553229213822239</v>
      </c>
      <c r="Q38">
        <f t="shared" si="11"/>
        <v>2650.8</v>
      </c>
      <c r="R38">
        <f t="shared" si="12"/>
        <v>3758.6450203843915</v>
      </c>
      <c r="S38">
        <f>B38/T38</f>
        <v>97.659687641466718</v>
      </c>
      <c r="T38">
        <v>88.36</v>
      </c>
      <c r="U38">
        <v>103.02</v>
      </c>
    </row>
    <row r="39" spans="1:21" x14ac:dyDescent="0.25">
      <c r="A39">
        <v>2018</v>
      </c>
      <c r="B39">
        <v>10031.08</v>
      </c>
      <c r="C39">
        <v>12009.94</v>
      </c>
      <c r="D39">
        <f t="shared" si="0"/>
        <v>14223.3547951854</v>
      </c>
      <c r="E39">
        <f t="shared" si="1"/>
        <v>17029.236900601827</v>
      </c>
      <c r="F39">
        <v>917.26</v>
      </c>
      <c r="G39">
        <f t="shared" si="2"/>
        <v>1300.6091487089884</v>
      </c>
      <c r="H39">
        <v>17.920000000000002</v>
      </c>
      <c r="I39">
        <f t="shared" si="3"/>
        <v>11020.51</v>
      </c>
      <c r="J39">
        <f t="shared" si="4"/>
        <v>15626.295847893613</v>
      </c>
      <c r="K39">
        <f t="shared" si="5"/>
        <v>1094.5658560000002</v>
      </c>
      <c r="L39">
        <f t="shared" si="6"/>
        <v>1552.0161853543004</v>
      </c>
      <c r="M39" s="1">
        <f t="shared" si="7"/>
        <v>9.9320798765211424E-2</v>
      </c>
      <c r="N39" s="1">
        <f t="shared" si="8"/>
        <v>9.9320798765211438E-2</v>
      </c>
      <c r="O39" s="4">
        <f t="shared" si="9"/>
        <v>3.7841708163573258</v>
      </c>
      <c r="P39" s="4">
        <f t="shared" si="10"/>
        <v>3.7841708163573258</v>
      </c>
      <c r="Q39">
        <f t="shared" si="11"/>
        <v>2650.8</v>
      </c>
      <c r="R39">
        <f t="shared" si="12"/>
        <v>3758.6450203843915</v>
      </c>
      <c r="S39">
        <f>B39/T39</f>
        <v>113.52512449071978</v>
      </c>
      <c r="T39">
        <v>88.36</v>
      </c>
      <c r="U39">
        <v>103.02</v>
      </c>
    </row>
    <row r="40" spans="1:21" x14ac:dyDescent="0.25">
      <c r="A40">
        <v>2018</v>
      </c>
      <c r="B40">
        <v>12009.95</v>
      </c>
      <c r="C40">
        <v>24222.31</v>
      </c>
      <c r="D40">
        <f t="shared" si="0"/>
        <v>17029.251079887403</v>
      </c>
      <c r="E40">
        <f t="shared" si="1"/>
        <v>34345.505079110852</v>
      </c>
      <c r="F40">
        <v>1271.8699999999999</v>
      </c>
      <c r="G40">
        <f t="shared" si="2"/>
        <v>1803.4207945059211</v>
      </c>
      <c r="H40">
        <v>21.36</v>
      </c>
      <c r="I40">
        <f t="shared" si="3"/>
        <v>18116.13</v>
      </c>
      <c r="J40">
        <f t="shared" si="4"/>
        <v>25687.378079499129</v>
      </c>
      <c r="K40">
        <f t="shared" si="5"/>
        <v>2576.150048</v>
      </c>
      <c r="L40">
        <f t="shared" si="6"/>
        <v>3652.7967216229858</v>
      </c>
      <c r="M40" s="1">
        <f t="shared" si="7"/>
        <v>0.14220200716157369</v>
      </c>
      <c r="N40" s="1">
        <f t="shared" si="8"/>
        <v>0.14220200716157369</v>
      </c>
      <c r="O40" s="4">
        <f t="shared" si="9"/>
        <v>4.5306888486494641</v>
      </c>
      <c r="P40" s="4">
        <f t="shared" si="10"/>
        <v>4.530688848649465</v>
      </c>
      <c r="Q40">
        <f t="shared" si="11"/>
        <v>2650.8</v>
      </c>
      <c r="R40">
        <f t="shared" si="12"/>
        <v>3758.6450203843915</v>
      </c>
      <c r="S40">
        <f>B40/T40</f>
        <v>135.92066545948393</v>
      </c>
      <c r="T40">
        <v>88.36</v>
      </c>
      <c r="U40">
        <v>103.02</v>
      </c>
    </row>
    <row r="41" spans="1:21" x14ac:dyDescent="0.25">
      <c r="A41">
        <v>2018</v>
      </c>
      <c r="B41">
        <v>24222.32</v>
      </c>
      <c r="C41">
        <v>38177.69</v>
      </c>
      <c r="D41">
        <f t="shared" si="0"/>
        <v>34345.519258396424</v>
      </c>
      <c r="E41">
        <f t="shared" si="1"/>
        <v>54133.236912735396</v>
      </c>
      <c r="F41">
        <v>3880.44</v>
      </c>
      <c r="G41">
        <f t="shared" si="2"/>
        <v>5502.1866919044842</v>
      </c>
      <c r="H41">
        <v>23.52</v>
      </c>
      <c r="I41">
        <f t="shared" si="3"/>
        <v>31200.005000000001</v>
      </c>
      <c r="J41">
        <f t="shared" si="4"/>
        <v>44239.378085565913</v>
      </c>
      <c r="K41">
        <f t="shared" si="5"/>
        <v>5521.5915120000009</v>
      </c>
      <c r="L41">
        <f t="shared" si="6"/>
        <v>7829.2222880547479</v>
      </c>
      <c r="M41" s="1">
        <f t="shared" si="7"/>
        <v>0.17697405856184961</v>
      </c>
      <c r="N41" s="1">
        <f t="shared" si="8"/>
        <v>0.17697405856184961</v>
      </c>
      <c r="O41" s="4">
        <f t="shared" si="9"/>
        <v>9.1377395503244294</v>
      </c>
      <c r="P41" s="4">
        <f t="shared" si="10"/>
        <v>9.1377395503244294</v>
      </c>
      <c r="Q41">
        <f t="shared" si="11"/>
        <v>2650.8</v>
      </c>
      <c r="R41">
        <f t="shared" si="12"/>
        <v>3758.6450203843915</v>
      </c>
      <c r="S41">
        <f>B41/T41</f>
        <v>274.13218650973289</v>
      </c>
      <c r="T41">
        <v>88.36</v>
      </c>
      <c r="U41">
        <v>103.02</v>
      </c>
    </row>
    <row r="42" spans="1:21" x14ac:dyDescent="0.25">
      <c r="A42">
        <v>2018</v>
      </c>
      <c r="B42">
        <v>38177.699999999997</v>
      </c>
      <c r="C42">
        <v>72887.5</v>
      </c>
      <c r="D42">
        <f t="shared" si="0"/>
        <v>54133.251092020961</v>
      </c>
      <c r="E42">
        <f t="shared" si="1"/>
        <v>103349.26773927393</v>
      </c>
      <c r="F42">
        <v>7162.74</v>
      </c>
      <c r="G42">
        <f t="shared" si="2"/>
        <v>10156.25359638905</v>
      </c>
      <c r="H42">
        <v>30</v>
      </c>
      <c r="I42">
        <f t="shared" si="3"/>
        <v>55532.6</v>
      </c>
      <c r="J42">
        <f t="shared" si="4"/>
        <v>78741.259415647437</v>
      </c>
      <c r="K42">
        <f t="shared" si="5"/>
        <v>12369.21</v>
      </c>
      <c r="L42">
        <f t="shared" si="6"/>
        <v>17538.656093476995</v>
      </c>
      <c r="M42" s="1">
        <f t="shared" si="7"/>
        <v>0.22273781526526759</v>
      </c>
      <c r="N42" s="1">
        <f t="shared" si="8"/>
        <v>0.22273781526526765</v>
      </c>
      <c r="O42" s="4">
        <f t="shared" si="9"/>
        <v>14.402331371661383</v>
      </c>
      <c r="P42" s="4">
        <f t="shared" si="10"/>
        <v>14.402331371661383</v>
      </c>
      <c r="Q42">
        <f t="shared" si="11"/>
        <v>2650.8</v>
      </c>
      <c r="R42">
        <f t="shared" si="12"/>
        <v>3758.6450203843915</v>
      </c>
      <c r="S42">
        <f>B42/T42</f>
        <v>432.06994114984155</v>
      </c>
      <c r="T42">
        <v>88.36</v>
      </c>
      <c r="U42">
        <v>103.02</v>
      </c>
    </row>
    <row r="43" spans="1:21" x14ac:dyDescent="0.25">
      <c r="A43">
        <v>2018</v>
      </c>
      <c r="B43">
        <v>72887.509999999995</v>
      </c>
      <c r="C43">
        <v>97183.33</v>
      </c>
      <c r="D43">
        <f t="shared" si="0"/>
        <v>103349.2819185595</v>
      </c>
      <c r="E43">
        <f t="shared" si="1"/>
        <v>137799.01892593672</v>
      </c>
      <c r="F43">
        <v>17575.689999999999</v>
      </c>
      <c r="G43">
        <f t="shared" si="2"/>
        <v>24921.072769850511</v>
      </c>
      <c r="H43">
        <v>32</v>
      </c>
      <c r="I43">
        <f t="shared" si="3"/>
        <v>85035.42</v>
      </c>
      <c r="J43">
        <f t="shared" si="4"/>
        <v>120574.1504222481</v>
      </c>
      <c r="K43">
        <f t="shared" si="5"/>
        <v>21463.021199999999</v>
      </c>
      <c r="L43">
        <f t="shared" si="6"/>
        <v>30433.030691030865</v>
      </c>
      <c r="M43" s="1">
        <f t="shared" si="7"/>
        <v>0.25240095480212832</v>
      </c>
      <c r="N43" s="1">
        <f t="shared" si="8"/>
        <v>0.25240095480212832</v>
      </c>
      <c r="O43" s="4">
        <f t="shared" si="9"/>
        <v>27.496419948694729</v>
      </c>
      <c r="P43" s="4">
        <f t="shared" si="10"/>
        <v>27.496419948694733</v>
      </c>
      <c r="Q43">
        <f t="shared" si="11"/>
        <v>2650.8</v>
      </c>
      <c r="R43">
        <f t="shared" si="12"/>
        <v>3758.6450203843915</v>
      </c>
      <c r="S43">
        <f>B43/T43</f>
        <v>824.89259846084201</v>
      </c>
      <c r="T43">
        <v>88.36</v>
      </c>
      <c r="U43">
        <v>103.02</v>
      </c>
    </row>
    <row r="44" spans="1:21" x14ac:dyDescent="0.25">
      <c r="A44">
        <v>2018</v>
      </c>
      <c r="B44">
        <v>97183.34</v>
      </c>
      <c r="C44">
        <v>291550</v>
      </c>
      <c r="D44">
        <f t="shared" si="0"/>
        <v>137799.03310522228</v>
      </c>
      <c r="E44">
        <f t="shared" si="1"/>
        <v>413397.07095709571</v>
      </c>
      <c r="F44">
        <v>25350.35</v>
      </c>
      <c r="G44">
        <f t="shared" si="2"/>
        <v>35944.985209182683</v>
      </c>
      <c r="H44">
        <v>34</v>
      </c>
      <c r="I44">
        <f t="shared" si="3"/>
        <v>194366.66999999998</v>
      </c>
      <c r="J44">
        <f t="shared" si="4"/>
        <v>275598.05203115899</v>
      </c>
      <c r="K44">
        <f t="shared" si="5"/>
        <v>58392.682199999996</v>
      </c>
      <c r="L44">
        <f t="shared" si="6"/>
        <v>82796.651644001162</v>
      </c>
      <c r="M44" s="1">
        <f t="shared" si="7"/>
        <v>0.30042538774780675</v>
      </c>
      <c r="N44" s="1">
        <f t="shared" si="8"/>
        <v>0.30042538774780675</v>
      </c>
      <c r="O44" s="4">
        <f t="shared" si="9"/>
        <v>36.661890749962275</v>
      </c>
      <c r="P44" s="4">
        <f t="shared" si="10"/>
        <v>36.661890749962268</v>
      </c>
      <c r="Q44">
        <f t="shared" si="11"/>
        <v>2650.8</v>
      </c>
      <c r="R44">
        <f t="shared" si="12"/>
        <v>3758.6450203843915</v>
      </c>
      <c r="S44">
        <f>B44/T44</f>
        <v>1099.8567224988683</v>
      </c>
      <c r="T44">
        <v>88.36</v>
      </c>
      <c r="U44">
        <v>103.02</v>
      </c>
    </row>
    <row r="45" spans="1:21" x14ac:dyDescent="0.25">
      <c r="A45" s="2">
        <v>2018</v>
      </c>
      <c r="B45" s="2">
        <v>291550.01</v>
      </c>
      <c r="C45" s="2"/>
      <c r="D45">
        <f t="shared" si="0"/>
        <v>413397.08513638127</v>
      </c>
      <c r="E45">
        <f t="shared" si="1"/>
        <v>0</v>
      </c>
      <c r="F45" s="2">
        <v>91435.02</v>
      </c>
      <c r="G45">
        <f t="shared" si="2"/>
        <v>129648.32601921957</v>
      </c>
      <c r="H45" s="2">
        <v>35</v>
      </c>
      <c r="I45" s="2">
        <f>B45*1.5</f>
        <v>437325.01500000001</v>
      </c>
      <c r="J45">
        <f t="shared" si="4"/>
        <v>620095.62770457193</v>
      </c>
      <c r="K45" s="2">
        <f t="shared" si="5"/>
        <v>142456.27175000001</v>
      </c>
      <c r="L45">
        <f t="shared" si="6"/>
        <v>201992.8159180863</v>
      </c>
      <c r="M45" s="3">
        <f t="shared" si="7"/>
        <v>0.32574462210902799</v>
      </c>
      <c r="N45" s="1">
        <f t="shared" si="8"/>
        <v>0.32574462210902799</v>
      </c>
      <c r="O45" s="4">
        <f t="shared" si="9"/>
        <v>109.98566847744077</v>
      </c>
      <c r="P45" s="4">
        <f t="shared" si="10"/>
        <v>109.98566847744077</v>
      </c>
      <c r="Q45">
        <f t="shared" si="11"/>
        <v>2650.8</v>
      </c>
      <c r="R45">
        <f t="shared" si="12"/>
        <v>3758.6450203843915</v>
      </c>
      <c r="S45" s="2">
        <f>B45/T45</f>
        <v>3299.5700543232233</v>
      </c>
      <c r="T45" s="2">
        <v>88.36</v>
      </c>
      <c r="U45">
        <v>103.02</v>
      </c>
    </row>
    <row r="46" spans="1:21" x14ac:dyDescent="0.25">
      <c r="A46">
        <v>2019</v>
      </c>
      <c r="B46">
        <v>0.01</v>
      </c>
      <c r="C46">
        <v>578.52</v>
      </c>
      <c r="D46">
        <f t="shared" si="0"/>
        <v>1.378924613438556E-2</v>
      </c>
      <c r="E46">
        <f t="shared" si="1"/>
        <v>797.73546736647336</v>
      </c>
      <c r="F46">
        <v>0</v>
      </c>
      <c r="G46">
        <f t="shared" si="2"/>
        <v>0</v>
      </c>
      <c r="H46">
        <v>1.92</v>
      </c>
      <c r="I46">
        <f t="shared" si="3"/>
        <v>289.26499999999999</v>
      </c>
      <c r="J46">
        <f t="shared" si="4"/>
        <v>398.87462830630386</v>
      </c>
      <c r="K46">
        <f t="shared" si="5"/>
        <v>5.5536959999999995</v>
      </c>
      <c r="L46">
        <f t="shared" si="6"/>
        <v>7.6581281099552543</v>
      </c>
      <c r="M46" s="1">
        <f t="shared" si="7"/>
        <v>1.919933624876843E-2</v>
      </c>
      <c r="N46" s="1">
        <f t="shared" si="8"/>
        <v>1.919933624876843E-2</v>
      </c>
      <c r="O46" s="4">
        <f t="shared" si="9"/>
        <v>3.2463316452408776E-6</v>
      </c>
      <c r="P46" s="4">
        <f t="shared" si="10"/>
        <v>3.246331645240878E-6</v>
      </c>
      <c r="Q46">
        <f t="shared" si="11"/>
        <v>3080.4</v>
      </c>
      <c r="R46">
        <f t="shared" si="12"/>
        <v>4247.6393792361278</v>
      </c>
      <c r="S46">
        <f>B46/T46</f>
        <v>9.7389949357226335E-5</v>
      </c>
      <c r="T46">
        <v>102.68</v>
      </c>
      <c r="U46">
        <v>105.934</v>
      </c>
    </row>
    <row r="47" spans="1:21" x14ac:dyDescent="0.25">
      <c r="A47">
        <v>2019</v>
      </c>
      <c r="B47">
        <v>578.53</v>
      </c>
      <c r="C47">
        <v>4910.18</v>
      </c>
      <c r="D47">
        <f t="shared" si="0"/>
        <v>797.74925661260772</v>
      </c>
      <c r="E47">
        <f t="shared" si="1"/>
        <v>6770.7680584137297</v>
      </c>
      <c r="F47">
        <v>11.11</v>
      </c>
      <c r="G47">
        <f t="shared" si="2"/>
        <v>15.319852455302357</v>
      </c>
      <c r="H47">
        <v>6.4</v>
      </c>
      <c r="I47">
        <f t="shared" si="3"/>
        <v>2744.355</v>
      </c>
      <c r="J47">
        <f t="shared" si="4"/>
        <v>3784.2586575131681</v>
      </c>
      <c r="K47">
        <f t="shared" si="5"/>
        <v>149.72280000000001</v>
      </c>
      <c r="L47">
        <f t="shared" si="6"/>
        <v>206.45645411293825</v>
      </c>
      <c r="M47" s="1">
        <f t="shared" si="7"/>
        <v>5.4556644457440823E-2</v>
      </c>
      <c r="N47" s="1">
        <f t="shared" si="8"/>
        <v>5.4556644457440823E-2</v>
      </c>
      <c r="O47" s="4">
        <f t="shared" si="9"/>
        <v>0.18781002467212049</v>
      </c>
      <c r="P47" s="4">
        <f t="shared" si="10"/>
        <v>0.18781002467212049</v>
      </c>
      <c r="Q47">
        <f t="shared" si="11"/>
        <v>3080.4</v>
      </c>
      <c r="R47">
        <f t="shared" si="12"/>
        <v>4247.6393792361278</v>
      </c>
      <c r="S47">
        <f>B47/T47</f>
        <v>5.6343007401636145</v>
      </c>
      <c r="T47">
        <v>102.68</v>
      </c>
      <c r="U47">
        <v>105.934</v>
      </c>
    </row>
    <row r="48" spans="1:21" x14ac:dyDescent="0.25">
      <c r="A48">
        <v>2019</v>
      </c>
      <c r="B48">
        <v>4910.1899999999996</v>
      </c>
      <c r="C48">
        <v>8629.2000000000007</v>
      </c>
      <c r="D48">
        <f t="shared" si="0"/>
        <v>6770.7818476598623</v>
      </c>
      <c r="E48">
        <f t="shared" si="1"/>
        <v>11899.016274283988</v>
      </c>
      <c r="F48">
        <v>288.33</v>
      </c>
      <c r="G48">
        <f t="shared" si="2"/>
        <v>397.58533379273882</v>
      </c>
      <c r="H48">
        <v>10.88</v>
      </c>
      <c r="I48">
        <f t="shared" si="3"/>
        <v>6769.6949999999997</v>
      </c>
      <c r="J48">
        <f t="shared" si="4"/>
        <v>9334.8990609719258</v>
      </c>
      <c r="K48">
        <f t="shared" si="5"/>
        <v>490.64414399999998</v>
      </c>
      <c r="L48">
        <f t="shared" si="6"/>
        <v>676.56128660109118</v>
      </c>
      <c r="M48" s="1">
        <f t="shared" si="7"/>
        <v>7.2476550863812925E-2</v>
      </c>
      <c r="N48" s="1">
        <f t="shared" si="8"/>
        <v>7.2476550863812911E-2</v>
      </c>
      <c r="O48" s="4">
        <f t="shared" si="9"/>
        <v>1.5940105181145303</v>
      </c>
      <c r="P48" s="4">
        <f t="shared" si="10"/>
        <v>1.5940105181145303</v>
      </c>
      <c r="Q48">
        <f t="shared" si="11"/>
        <v>3080.4</v>
      </c>
      <c r="R48">
        <f t="shared" si="12"/>
        <v>4247.6393792361278</v>
      </c>
      <c r="S48">
        <f>B48/T48</f>
        <v>47.82031554343591</v>
      </c>
      <c r="T48">
        <v>102.68</v>
      </c>
      <c r="U48">
        <v>105.934</v>
      </c>
    </row>
    <row r="49" spans="1:21" x14ac:dyDescent="0.25">
      <c r="A49">
        <v>2019</v>
      </c>
      <c r="B49">
        <v>8629.2099999999991</v>
      </c>
      <c r="C49">
        <v>10031.07</v>
      </c>
      <c r="D49">
        <f t="shared" si="0"/>
        <v>11899.030063530121</v>
      </c>
      <c r="E49">
        <f t="shared" si="1"/>
        <v>13832.089322125095</v>
      </c>
      <c r="F49">
        <v>692.96</v>
      </c>
      <c r="G49">
        <f t="shared" si="2"/>
        <v>955.53960012838184</v>
      </c>
      <c r="H49">
        <v>16</v>
      </c>
      <c r="I49">
        <f t="shared" si="3"/>
        <v>9330.14</v>
      </c>
      <c r="J49">
        <f t="shared" si="4"/>
        <v>12865.559692827608</v>
      </c>
      <c r="K49">
        <f t="shared" si="5"/>
        <v>805.10880000000009</v>
      </c>
      <c r="L49">
        <f t="shared" si="6"/>
        <v>1110.1843408159798</v>
      </c>
      <c r="M49" s="1">
        <f t="shared" si="7"/>
        <v>8.6291181054089242E-2</v>
      </c>
      <c r="N49" s="1">
        <f t="shared" si="8"/>
        <v>8.6291181054089228E-2</v>
      </c>
      <c r="O49" s="4">
        <f t="shared" si="9"/>
        <v>2.801327749642903</v>
      </c>
      <c r="P49" s="4">
        <f t="shared" si="10"/>
        <v>2.8013277496429034</v>
      </c>
      <c r="Q49">
        <f t="shared" si="11"/>
        <v>3080.4</v>
      </c>
      <c r="R49">
        <f t="shared" si="12"/>
        <v>4247.6393792361278</v>
      </c>
      <c r="S49">
        <f>B49/T49</f>
        <v>84.039832489287093</v>
      </c>
      <c r="T49">
        <v>102.68</v>
      </c>
      <c r="U49">
        <v>105.934</v>
      </c>
    </row>
    <row r="50" spans="1:21" x14ac:dyDescent="0.25">
      <c r="A50">
        <v>2019</v>
      </c>
      <c r="B50">
        <v>10031.08</v>
      </c>
      <c r="C50">
        <v>12009.94</v>
      </c>
      <c r="D50">
        <f t="shared" si="0"/>
        <v>13832.103111371231</v>
      </c>
      <c r="E50">
        <f t="shared" si="1"/>
        <v>16560.801871920252</v>
      </c>
      <c r="F50">
        <v>917.26</v>
      </c>
      <c r="G50">
        <f t="shared" si="2"/>
        <v>1264.8323909226499</v>
      </c>
      <c r="H50">
        <v>17.920000000000002</v>
      </c>
      <c r="I50">
        <f t="shared" si="3"/>
        <v>11020.51</v>
      </c>
      <c r="J50">
        <f t="shared" si="4"/>
        <v>15196.452491645741</v>
      </c>
      <c r="K50">
        <f t="shared" si="5"/>
        <v>1094.5658560000002</v>
      </c>
      <c r="L50">
        <f t="shared" si="6"/>
        <v>1509.3237998678424</v>
      </c>
      <c r="M50" s="1">
        <f t="shared" si="7"/>
        <v>9.9320798765211424E-2</v>
      </c>
      <c r="N50" s="1">
        <f t="shared" si="8"/>
        <v>9.9320798765211424E-2</v>
      </c>
      <c r="O50" s="4">
        <f t="shared" si="9"/>
        <v>3.2564212439942861</v>
      </c>
      <c r="P50" s="4">
        <f t="shared" si="10"/>
        <v>3.2564212439942866</v>
      </c>
      <c r="Q50">
        <f t="shared" si="11"/>
        <v>3080.4</v>
      </c>
      <c r="R50">
        <f t="shared" si="12"/>
        <v>4247.6393792361278</v>
      </c>
      <c r="S50">
        <f>B50/T50</f>
        <v>97.692637319828592</v>
      </c>
      <c r="T50">
        <v>102.68</v>
      </c>
      <c r="U50">
        <v>105.934</v>
      </c>
    </row>
    <row r="51" spans="1:21" x14ac:dyDescent="0.25">
      <c r="A51">
        <v>2019</v>
      </c>
      <c r="B51">
        <v>12009.95</v>
      </c>
      <c r="C51">
        <v>24222.31</v>
      </c>
      <c r="D51">
        <f t="shared" si="0"/>
        <v>16560.815661166387</v>
      </c>
      <c r="E51">
        <f t="shared" si="1"/>
        <v>33400.739453338872</v>
      </c>
      <c r="F51">
        <v>1271.8699999999999</v>
      </c>
      <c r="G51">
        <f t="shared" si="2"/>
        <v>1753.8128480940961</v>
      </c>
      <c r="H51">
        <v>21.36</v>
      </c>
      <c r="I51">
        <f t="shared" si="3"/>
        <v>18116.13</v>
      </c>
      <c r="J51">
        <f t="shared" si="4"/>
        <v>24980.77755725263</v>
      </c>
      <c r="K51">
        <f t="shared" si="5"/>
        <v>2576.150048</v>
      </c>
      <c r="L51">
        <f t="shared" si="6"/>
        <v>3552.3167090981174</v>
      </c>
      <c r="M51" s="1">
        <f t="shared" si="7"/>
        <v>0.14220200716157369</v>
      </c>
      <c r="N51" s="1">
        <f t="shared" si="8"/>
        <v>0.14220200716157366</v>
      </c>
      <c r="O51" s="4">
        <f t="shared" si="9"/>
        <v>3.8988280742760684</v>
      </c>
      <c r="P51" s="4">
        <f t="shared" si="10"/>
        <v>3.8988280742760684</v>
      </c>
      <c r="Q51">
        <f t="shared" si="11"/>
        <v>3080.4</v>
      </c>
      <c r="R51">
        <f t="shared" si="12"/>
        <v>4247.6393792361278</v>
      </c>
      <c r="S51">
        <f>B51/T51</f>
        <v>116.96484222828204</v>
      </c>
      <c r="T51">
        <v>102.68</v>
      </c>
      <c r="U51">
        <v>105.934</v>
      </c>
    </row>
    <row r="52" spans="1:21" x14ac:dyDescent="0.25">
      <c r="A52">
        <v>2019</v>
      </c>
      <c r="B52">
        <v>24222.32</v>
      </c>
      <c r="C52">
        <v>38177.69</v>
      </c>
      <c r="D52">
        <f t="shared" si="0"/>
        <v>33400.753242585</v>
      </c>
      <c r="E52">
        <f t="shared" si="1"/>
        <v>52644.156425227025</v>
      </c>
      <c r="F52">
        <v>3880.44</v>
      </c>
      <c r="G52">
        <f t="shared" si="2"/>
        <v>5350.8342269715104</v>
      </c>
      <c r="H52">
        <v>23.52</v>
      </c>
      <c r="I52">
        <f t="shared" si="3"/>
        <v>31200.005000000001</v>
      </c>
      <c r="J52">
        <f t="shared" si="4"/>
        <v>43022.454833906013</v>
      </c>
      <c r="K52">
        <f t="shared" si="5"/>
        <v>5521.5915120000009</v>
      </c>
      <c r="L52">
        <f t="shared" si="6"/>
        <v>7613.8584412502132</v>
      </c>
      <c r="M52" s="1">
        <f t="shared" si="7"/>
        <v>0.17697405856184961</v>
      </c>
      <c r="N52" s="1">
        <f t="shared" si="8"/>
        <v>0.17697405856184961</v>
      </c>
      <c r="O52" s="4">
        <f t="shared" si="9"/>
        <v>7.8633683937151018</v>
      </c>
      <c r="P52" s="4">
        <f t="shared" si="10"/>
        <v>7.8633683937151018</v>
      </c>
      <c r="Q52">
        <f t="shared" si="11"/>
        <v>3080.4</v>
      </c>
      <c r="R52">
        <f t="shared" si="12"/>
        <v>4247.6393792361278</v>
      </c>
      <c r="S52">
        <f>B52/T52</f>
        <v>235.90105181145304</v>
      </c>
      <c r="T52">
        <v>102.68</v>
      </c>
      <c r="U52">
        <v>105.934</v>
      </c>
    </row>
    <row r="53" spans="1:21" x14ac:dyDescent="0.25">
      <c r="A53">
        <v>2019</v>
      </c>
      <c r="B53">
        <v>38177.699999999997</v>
      </c>
      <c r="C53">
        <v>72887.5</v>
      </c>
      <c r="D53">
        <f t="shared" si="0"/>
        <v>52644.170214473153</v>
      </c>
      <c r="E53">
        <f t="shared" si="1"/>
        <v>100506.36776200274</v>
      </c>
      <c r="F53">
        <v>7162.74</v>
      </c>
      <c r="G53">
        <f t="shared" si="2"/>
        <v>9876.8784856608818</v>
      </c>
      <c r="H53">
        <v>30</v>
      </c>
      <c r="I53">
        <f t="shared" si="3"/>
        <v>55532.6</v>
      </c>
      <c r="J53">
        <f t="shared" si="4"/>
        <v>76575.268988237949</v>
      </c>
      <c r="K53">
        <f t="shared" si="5"/>
        <v>12369.21</v>
      </c>
      <c r="L53">
        <f t="shared" si="6"/>
        <v>17056.20811779032</v>
      </c>
      <c r="M53" s="1">
        <f t="shared" si="7"/>
        <v>0.22273781526526759</v>
      </c>
      <c r="N53" s="1">
        <f t="shared" si="8"/>
        <v>0.22273781526526762</v>
      </c>
      <c r="O53" s="4">
        <f t="shared" si="9"/>
        <v>12.393747565251266</v>
      </c>
      <c r="P53" s="4">
        <f t="shared" si="10"/>
        <v>12.393747565251266</v>
      </c>
      <c r="Q53">
        <f t="shared" si="11"/>
        <v>3080.4</v>
      </c>
      <c r="R53">
        <f t="shared" si="12"/>
        <v>4247.6393792361278</v>
      </c>
      <c r="S53">
        <f>B53/T53</f>
        <v>371.81242695753792</v>
      </c>
      <c r="T53">
        <v>102.68</v>
      </c>
      <c r="U53">
        <v>105.934</v>
      </c>
    </row>
    <row r="54" spans="1:21" x14ac:dyDescent="0.25">
      <c r="A54">
        <v>2019</v>
      </c>
      <c r="B54">
        <v>72887.509999999995</v>
      </c>
      <c r="C54">
        <v>97183.33</v>
      </c>
      <c r="D54">
        <f t="shared" si="0"/>
        <v>100506.38155124888</v>
      </c>
      <c r="E54">
        <f t="shared" si="1"/>
        <v>134008.48575292161</v>
      </c>
      <c r="F54">
        <v>17575.689999999999</v>
      </c>
      <c r="G54">
        <f t="shared" si="2"/>
        <v>24235.551539165892</v>
      </c>
      <c r="H54">
        <v>32</v>
      </c>
      <c r="I54">
        <f t="shared" si="3"/>
        <v>85035.42</v>
      </c>
      <c r="J54">
        <f t="shared" si="4"/>
        <v>117257.43365208525</v>
      </c>
      <c r="K54">
        <f t="shared" si="5"/>
        <v>21463.021199999999</v>
      </c>
      <c r="L54">
        <f t="shared" si="6"/>
        <v>29595.888211433532</v>
      </c>
      <c r="M54" s="1">
        <f t="shared" si="7"/>
        <v>0.25240095480212832</v>
      </c>
      <c r="N54" s="1">
        <f t="shared" si="8"/>
        <v>0.25240095480212832</v>
      </c>
      <c r="O54" s="4">
        <f t="shared" si="9"/>
        <v>23.66170302558109</v>
      </c>
      <c r="P54" s="4">
        <f t="shared" si="10"/>
        <v>23.661703025581094</v>
      </c>
      <c r="Q54">
        <f t="shared" si="11"/>
        <v>3080.4</v>
      </c>
      <c r="R54">
        <f t="shared" si="12"/>
        <v>4247.6393792361278</v>
      </c>
      <c r="S54">
        <f>B54/T54</f>
        <v>709.85109076743265</v>
      </c>
      <c r="T54">
        <v>102.68</v>
      </c>
      <c r="U54">
        <v>105.934</v>
      </c>
    </row>
    <row r="55" spans="1:21" x14ac:dyDescent="0.25">
      <c r="A55">
        <v>2019</v>
      </c>
      <c r="B55">
        <v>97183.34</v>
      </c>
      <c r="C55">
        <v>291550</v>
      </c>
      <c r="D55">
        <f t="shared" si="0"/>
        <v>134008.49954216776</v>
      </c>
      <c r="E55">
        <f t="shared" si="1"/>
        <v>402025.47104801098</v>
      </c>
      <c r="F55">
        <v>25350.35</v>
      </c>
      <c r="G55">
        <f t="shared" si="2"/>
        <v>34956.221574282099</v>
      </c>
      <c r="H55">
        <v>34</v>
      </c>
      <c r="I55">
        <f t="shared" si="3"/>
        <v>194366.66999999998</v>
      </c>
      <c r="J55">
        <f t="shared" si="4"/>
        <v>268016.98529508937</v>
      </c>
      <c r="K55">
        <f t="shared" si="5"/>
        <v>58392.682199999996</v>
      </c>
      <c r="L55">
        <f t="shared" si="6"/>
        <v>80519.106730275438</v>
      </c>
      <c r="M55" s="1">
        <f t="shared" si="7"/>
        <v>0.30042538774780675</v>
      </c>
      <c r="N55" s="1">
        <f t="shared" si="8"/>
        <v>0.30042538774780675</v>
      </c>
      <c r="O55" s="4">
        <f t="shared" si="9"/>
        <v>31.54893520322036</v>
      </c>
      <c r="P55" s="4">
        <f t="shared" si="10"/>
        <v>31.548935203220363</v>
      </c>
      <c r="Q55">
        <f t="shared" si="11"/>
        <v>3080.4</v>
      </c>
      <c r="R55">
        <f t="shared" si="12"/>
        <v>4247.6393792361278</v>
      </c>
      <c r="S55">
        <f>B55/T55</f>
        <v>946.46805609661078</v>
      </c>
      <c r="T55">
        <v>102.68</v>
      </c>
      <c r="U55">
        <v>105.934</v>
      </c>
    </row>
    <row r="56" spans="1:21" x14ac:dyDescent="0.25">
      <c r="A56" s="2">
        <v>2019</v>
      </c>
      <c r="B56" s="2">
        <v>291550.01</v>
      </c>
      <c r="C56" s="2"/>
      <c r="D56">
        <f t="shared" si="0"/>
        <v>402025.48483725713</v>
      </c>
      <c r="E56">
        <f t="shared" si="1"/>
        <v>0</v>
      </c>
      <c r="F56" s="2">
        <v>91435.02</v>
      </c>
      <c r="G56">
        <f t="shared" si="2"/>
        <v>126081.99960824664</v>
      </c>
      <c r="H56" s="2">
        <v>35</v>
      </c>
      <c r="I56" s="2">
        <f>B56*1.5</f>
        <v>437325.01500000001</v>
      </c>
      <c r="J56">
        <f t="shared" si="4"/>
        <v>603038.22725588572</v>
      </c>
      <c r="K56" s="2">
        <f t="shared" si="5"/>
        <v>142456.27175000001</v>
      </c>
      <c r="L56">
        <f t="shared" si="6"/>
        <v>196436.45945476665</v>
      </c>
      <c r="M56" s="3">
        <f t="shared" si="7"/>
        <v>0.32574462210902799</v>
      </c>
      <c r="N56" s="1">
        <f t="shared" si="8"/>
        <v>0.32574462210902799</v>
      </c>
      <c r="O56" s="4">
        <f t="shared" si="9"/>
        <v>94.646802363329442</v>
      </c>
      <c r="P56" s="4">
        <f t="shared" si="10"/>
        <v>94.646802363329442</v>
      </c>
      <c r="Q56">
        <f t="shared" si="11"/>
        <v>3080.4</v>
      </c>
      <c r="R56">
        <f t="shared" si="12"/>
        <v>4247.6393792361278</v>
      </c>
      <c r="S56" s="2">
        <f>B56/T56</f>
        <v>2839.4040708998832</v>
      </c>
      <c r="T56" s="2">
        <v>102.68</v>
      </c>
      <c r="U56">
        <v>105.934</v>
      </c>
    </row>
    <row r="57" spans="1:21" x14ac:dyDescent="0.25">
      <c r="A57">
        <v>2020</v>
      </c>
      <c r="B57">
        <v>0.01</v>
      </c>
      <c r="C57">
        <v>578.52</v>
      </c>
      <c r="D57">
        <f t="shared" si="0"/>
        <v>1.3368139762608561E-2</v>
      </c>
      <c r="E57">
        <f t="shared" si="1"/>
        <v>773.3736215464304</v>
      </c>
      <c r="F57">
        <v>0</v>
      </c>
      <c r="G57">
        <f t="shared" si="2"/>
        <v>0</v>
      </c>
      <c r="H57">
        <v>1.92</v>
      </c>
      <c r="I57">
        <f t="shared" si="3"/>
        <v>289.26499999999999</v>
      </c>
      <c r="J57">
        <f t="shared" si="4"/>
        <v>386.69349484309646</v>
      </c>
      <c r="K57">
        <f t="shared" si="5"/>
        <v>5.5536959999999995</v>
      </c>
      <c r="L57">
        <f t="shared" si="6"/>
        <v>7.4242584327040104</v>
      </c>
      <c r="M57" s="1">
        <f t="shared" si="7"/>
        <v>1.919933624876843E-2</v>
      </c>
      <c r="N57" s="1">
        <f t="shared" si="8"/>
        <v>1.919933624876843E-2</v>
      </c>
      <c r="O57" s="4">
        <f t="shared" si="9"/>
        <v>2.7051885516420497E-6</v>
      </c>
      <c r="P57" s="4">
        <f t="shared" si="10"/>
        <v>2.7051885516420497E-6</v>
      </c>
      <c r="Q57">
        <f t="shared" si="11"/>
        <v>3696.6</v>
      </c>
      <c r="R57">
        <f t="shared" si="12"/>
        <v>4941.6665446458801</v>
      </c>
      <c r="S57">
        <f>B57/T57</f>
        <v>8.1155656549261482E-5</v>
      </c>
      <c r="T57">
        <v>123.22</v>
      </c>
      <c r="U57">
        <v>109.271</v>
      </c>
    </row>
    <row r="58" spans="1:21" x14ac:dyDescent="0.25">
      <c r="A58">
        <v>2020</v>
      </c>
      <c r="B58">
        <v>578.53</v>
      </c>
      <c r="C58">
        <v>4910.18</v>
      </c>
      <c r="D58">
        <f t="shared" si="0"/>
        <v>773.38698968619292</v>
      </c>
      <c r="E58">
        <f t="shared" si="1"/>
        <v>6563.9972499565301</v>
      </c>
      <c r="F58">
        <v>11.11</v>
      </c>
      <c r="G58">
        <f t="shared" si="2"/>
        <v>14.85200327625811</v>
      </c>
      <c r="H58">
        <v>6.4</v>
      </c>
      <c r="I58">
        <f t="shared" si="3"/>
        <v>2744.355</v>
      </c>
      <c r="J58">
        <f t="shared" si="4"/>
        <v>3668.6921198213613</v>
      </c>
      <c r="K58">
        <f t="shared" si="5"/>
        <v>149.72280000000001</v>
      </c>
      <c r="L58">
        <f t="shared" si="6"/>
        <v>200.15153160490888</v>
      </c>
      <c r="M58" s="1">
        <f t="shared" si="7"/>
        <v>5.4556644457440823E-2</v>
      </c>
      <c r="N58" s="1">
        <f t="shared" si="8"/>
        <v>5.4556644457440823E-2</v>
      </c>
      <c r="O58" s="4">
        <f t="shared" si="9"/>
        <v>0.15650327327814748</v>
      </c>
      <c r="P58" s="4">
        <f t="shared" si="10"/>
        <v>0.15650327327814748</v>
      </c>
      <c r="Q58">
        <f t="shared" si="11"/>
        <v>3696.6</v>
      </c>
      <c r="R58">
        <f t="shared" si="12"/>
        <v>4941.6665446458801</v>
      </c>
      <c r="S58">
        <f>B58/T58</f>
        <v>4.6950981983444242</v>
      </c>
      <c r="T58">
        <v>123.22</v>
      </c>
      <c r="U58">
        <v>109.271</v>
      </c>
    </row>
    <row r="59" spans="1:21" x14ac:dyDescent="0.25">
      <c r="A59">
        <v>2020</v>
      </c>
      <c r="B59">
        <v>4910.1899999999996</v>
      </c>
      <c r="C59">
        <v>8629.2000000000007</v>
      </c>
      <c r="D59">
        <f t="shared" si="0"/>
        <v>6564.0106180962921</v>
      </c>
      <c r="E59">
        <f t="shared" si="1"/>
        <v>11535.635163950179</v>
      </c>
      <c r="F59">
        <v>288.33</v>
      </c>
      <c r="G59">
        <f t="shared" si="2"/>
        <v>385.44357377529258</v>
      </c>
      <c r="H59">
        <v>10.88</v>
      </c>
      <c r="I59">
        <f t="shared" si="3"/>
        <v>6769.6949999999997</v>
      </c>
      <c r="J59">
        <f t="shared" si="4"/>
        <v>9049.8228910232356</v>
      </c>
      <c r="K59">
        <f t="shared" si="5"/>
        <v>490.64414399999998</v>
      </c>
      <c r="L59">
        <f t="shared" si="6"/>
        <v>655.89994906974403</v>
      </c>
      <c r="M59" s="1">
        <f t="shared" si="7"/>
        <v>7.2476550863812925E-2</v>
      </c>
      <c r="N59" s="1">
        <f t="shared" si="8"/>
        <v>7.2476550863812925E-2</v>
      </c>
      <c r="O59" s="4">
        <f t="shared" si="9"/>
        <v>1.3282989774387275</v>
      </c>
      <c r="P59" s="4">
        <f t="shared" si="10"/>
        <v>1.3282989774387275</v>
      </c>
      <c r="Q59">
        <f t="shared" si="11"/>
        <v>3696.6</v>
      </c>
      <c r="R59">
        <f t="shared" si="12"/>
        <v>4941.6665446458801</v>
      </c>
      <c r="S59">
        <f>B59/T59</f>
        <v>39.848969323161825</v>
      </c>
      <c r="T59">
        <v>123.22</v>
      </c>
      <c r="U59">
        <v>109.271</v>
      </c>
    </row>
    <row r="60" spans="1:21" x14ac:dyDescent="0.25">
      <c r="A60">
        <v>2020</v>
      </c>
      <c r="B60">
        <v>8629.2099999999991</v>
      </c>
      <c r="C60">
        <v>10031.07</v>
      </c>
      <c r="D60">
        <f t="shared" si="0"/>
        <v>11535.648532089939</v>
      </c>
      <c r="E60">
        <f t="shared" si="1"/>
        <v>13409.674572850983</v>
      </c>
      <c r="F60">
        <v>692.96</v>
      </c>
      <c r="G60">
        <f t="shared" si="2"/>
        <v>926.35861298972281</v>
      </c>
      <c r="H60">
        <v>16</v>
      </c>
      <c r="I60">
        <f t="shared" si="3"/>
        <v>9330.14</v>
      </c>
      <c r="J60">
        <f t="shared" si="4"/>
        <v>12472.661552470461</v>
      </c>
      <c r="K60">
        <f t="shared" si="5"/>
        <v>805.10880000000009</v>
      </c>
      <c r="L60">
        <f t="shared" si="6"/>
        <v>1076.2806962506063</v>
      </c>
      <c r="M60" s="1">
        <f t="shared" si="7"/>
        <v>8.6291181054089242E-2</v>
      </c>
      <c r="N60" s="1">
        <f t="shared" si="8"/>
        <v>8.6291181054089242E-2</v>
      </c>
      <c r="O60" s="4">
        <f t="shared" si="9"/>
        <v>2.3343640101715089</v>
      </c>
      <c r="P60" s="4">
        <f t="shared" si="10"/>
        <v>2.3343640101715089</v>
      </c>
      <c r="Q60">
        <f t="shared" si="11"/>
        <v>3696.6</v>
      </c>
      <c r="R60">
        <f t="shared" si="12"/>
        <v>4941.6665446458801</v>
      </c>
      <c r="S60">
        <f>B60/T60</f>
        <v>70.030920305145258</v>
      </c>
      <c r="T60">
        <v>123.22</v>
      </c>
      <c r="U60">
        <v>109.271</v>
      </c>
    </row>
    <row r="61" spans="1:21" x14ac:dyDescent="0.25">
      <c r="A61">
        <v>2020</v>
      </c>
      <c r="B61">
        <v>10031.08</v>
      </c>
      <c r="C61">
        <v>12009.94</v>
      </c>
      <c r="D61">
        <f t="shared" si="0"/>
        <v>13409.687940990747</v>
      </c>
      <c r="E61">
        <f t="shared" si="1"/>
        <v>16055.055646054305</v>
      </c>
      <c r="F61">
        <v>917.26</v>
      </c>
      <c r="G61">
        <f t="shared" si="2"/>
        <v>1226.2059878650327</v>
      </c>
      <c r="H61">
        <v>17.920000000000002</v>
      </c>
      <c r="I61">
        <f t="shared" si="3"/>
        <v>11020.51</v>
      </c>
      <c r="J61">
        <f t="shared" si="4"/>
        <v>14732.371793522527</v>
      </c>
      <c r="K61">
        <f t="shared" si="5"/>
        <v>1094.5658560000002</v>
      </c>
      <c r="L61">
        <f t="shared" si="6"/>
        <v>1463.2309342387277</v>
      </c>
      <c r="M61" s="1">
        <f t="shared" si="7"/>
        <v>9.9320798765211424E-2</v>
      </c>
      <c r="N61" s="1">
        <f t="shared" si="8"/>
        <v>9.9320798765211424E-2</v>
      </c>
      <c r="O61" s="4">
        <f t="shared" si="9"/>
        <v>2.7135962776605531</v>
      </c>
      <c r="P61" s="4">
        <f t="shared" si="10"/>
        <v>2.7135962776605531</v>
      </c>
      <c r="Q61">
        <f t="shared" si="11"/>
        <v>3696.6</v>
      </c>
      <c r="R61">
        <f t="shared" si="12"/>
        <v>4941.6665446458801</v>
      </c>
      <c r="S61">
        <f>B61/T61</f>
        <v>81.407888329816586</v>
      </c>
      <c r="T61">
        <v>123.22</v>
      </c>
      <c r="U61">
        <v>109.271</v>
      </c>
    </row>
    <row r="62" spans="1:21" x14ac:dyDescent="0.25">
      <c r="A62">
        <v>2020</v>
      </c>
      <c r="B62">
        <v>12009.95</v>
      </c>
      <c r="C62">
        <v>24222.31</v>
      </c>
      <c r="D62">
        <f t="shared" si="0"/>
        <v>16055.069014194069</v>
      </c>
      <c r="E62">
        <f t="shared" si="1"/>
        <v>32380.722545323097</v>
      </c>
      <c r="F62">
        <v>1271.8699999999999</v>
      </c>
      <c r="G62">
        <f t="shared" si="2"/>
        <v>1700.2535919868947</v>
      </c>
      <c r="H62">
        <v>21.36</v>
      </c>
      <c r="I62">
        <f t="shared" si="3"/>
        <v>18116.13</v>
      </c>
      <c r="J62">
        <f t="shared" si="4"/>
        <v>24217.895779758583</v>
      </c>
      <c r="K62">
        <f t="shared" si="5"/>
        <v>2576.150048</v>
      </c>
      <c r="L62">
        <f t="shared" si="6"/>
        <v>3443.8333891114748</v>
      </c>
      <c r="M62" s="1">
        <f t="shared" si="7"/>
        <v>0.14220200716157369</v>
      </c>
      <c r="N62" s="1">
        <f t="shared" si="8"/>
        <v>0.14220200716157366</v>
      </c>
      <c r="O62" s="4">
        <f t="shared" si="9"/>
        <v>3.2489179245793434</v>
      </c>
      <c r="P62" s="4">
        <f t="shared" si="10"/>
        <v>3.2489179245793434</v>
      </c>
      <c r="Q62">
        <f t="shared" si="11"/>
        <v>3696.6</v>
      </c>
      <c r="R62">
        <f t="shared" si="12"/>
        <v>4941.6665446458801</v>
      </c>
      <c r="S62">
        <f>B62/T62</f>
        <v>97.467537737380297</v>
      </c>
      <c r="T62">
        <v>123.22</v>
      </c>
      <c r="U62">
        <v>109.271</v>
      </c>
    </row>
    <row r="63" spans="1:21" x14ac:dyDescent="0.25">
      <c r="A63">
        <v>2020</v>
      </c>
      <c r="B63">
        <v>24222.32</v>
      </c>
      <c r="C63">
        <v>38177.69</v>
      </c>
      <c r="D63">
        <f t="shared" si="0"/>
        <v>32380.735913462857</v>
      </c>
      <c r="E63">
        <f t="shared" si="1"/>
        <v>51036.469573354319</v>
      </c>
      <c r="F63">
        <v>3880.44</v>
      </c>
      <c r="G63">
        <f t="shared" si="2"/>
        <v>5187.4264260416758</v>
      </c>
      <c r="H63">
        <v>23.52</v>
      </c>
      <c r="I63">
        <f t="shared" si="3"/>
        <v>31200.005000000001</v>
      </c>
      <c r="J63">
        <f t="shared" si="4"/>
        <v>41708.602743408592</v>
      </c>
      <c r="K63">
        <f t="shared" si="5"/>
        <v>5521.5915120000009</v>
      </c>
      <c r="L63">
        <f t="shared" si="6"/>
        <v>7381.3407044449132</v>
      </c>
      <c r="M63" s="1">
        <f t="shared" si="7"/>
        <v>0.17697405856184961</v>
      </c>
      <c r="N63" s="1">
        <f t="shared" si="8"/>
        <v>0.17697405856184961</v>
      </c>
      <c r="O63" s="4">
        <f t="shared" si="9"/>
        <v>6.5525942758210247</v>
      </c>
      <c r="P63" s="4">
        <f t="shared" si="10"/>
        <v>6.5525942758210247</v>
      </c>
      <c r="Q63">
        <f t="shared" si="11"/>
        <v>3696.6</v>
      </c>
      <c r="R63">
        <f t="shared" si="12"/>
        <v>4941.6665446458801</v>
      </c>
      <c r="S63">
        <f>B63/T63</f>
        <v>196.57782827463075</v>
      </c>
      <c r="T63">
        <v>123.22</v>
      </c>
      <c r="U63">
        <v>109.271</v>
      </c>
    </row>
    <row r="64" spans="1:21" x14ac:dyDescent="0.25">
      <c r="A64">
        <v>2020</v>
      </c>
      <c r="B64">
        <v>38177.699999999997</v>
      </c>
      <c r="C64">
        <v>72887.5</v>
      </c>
      <c r="D64">
        <f t="shared" si="0"/>
        <v>51036.482941494076</v>
      </c>
      <c r="E64">
        <f t="shared" si="1"/>
        <v>97437.028694713139</v>
      </c>
      <c r="F64">
        <v>7162.74</v>
      </c>
      <c r="G64">
        <f t="shared" si="2"/>
        <v>9575.2509403226832</v>
      </c>
      <c r="H64">
        <v>30</v>
      </c>
      <c r="I64">
        <f t="shared" si="3"/>
        <v>55532.6</v>
      </c>
      <c r="J64">
        <f t="shared" si="4"/>
        <v>74236.755818103615</v>
      </c>
      <c r="K64">
        <f t="shared" si="5"/>
        <v>12369.21</v>
      </c>
      <c r="L64">
        <f t="shared" si="6"/>
        <v>16535.33280330554</v>
      </c>
      <c r="M64" s="1">
        <f t="shared" si="7"/>
        <v>0.22273781526526759</v>
      </c>
      <c r="N64" s="1">
        <f t="shared" si="8"/>
        <v>0.22273781526526756</v>
      </c>
      <c r="O64" s="4">
        <f t="shared" si="9"/>
        <v>10.327787696802467</v>
      </c>
      <c r="P64" s="4">
        <f t="shared" si="10"/>
        <v>10.327787696802467</v>
      </c>
      <c r="Q64">
        <f t="shared" si="11"/>
        <v>3696.6</v>
      </c>
      <c r="R64">
        <f t="shared" si="12"/>
        <v>4941.6665446458801</v>
      </c>
      <c r="S64">
        <f>B64/T64</f>
        <v>309.83363090407397</v>
      </c>
      <c r="T64">
        <v>123.22</v>
      </c>
      <c r="U64">
        <v>109.271</v>
      </c>
    </row>
    <row r="65" spans="1:21" x14ac:dyDescent="0.25">
      <c r="A65">
        <v>2020</v>
      </c>
      <c r="B65">
        <v>72887.509999999995</v>
      </c>
      <c r="C65">
        <v>97183.33</v>
      </c>
      <c r="D65">
        <f t="shared" si="0"/>
        <v>97437.042062852895</v>
      </c>
      <c r="E65">
        <f t="shared" si="1"/>
        <v>129916.03380357093</v>
      </c>
      <c r="F65">
        <v>17575.689999999999</v>
      </c>
      <c r="G65">
        <f t="shared" si="2"/>
        <v>23495.428034428161</v>
      </c>
      <c r="H65">
        <v>32</v>
      </c>
      <c r="I65">
        <f t="shared" si="3"/>
        <v>85035.42</v>
      </c>
      <c r="J65">
        <f t="shared" si="4"/>
        <v>113676.53793321192</v>
      </c>
      <c r="K65">
        <f t="shared" si="5"/>
        <v>21463.021199999999</v>
      </c>
      <c r="L65">
        <f t="shared" si="6"/>
        <v>28692.066712943048</v>
      </c>
      <c r="M65" s="1">
        <f t="shared" si="7"/>
        <v>0.25240095480212832</v>
      </c>
      <c r="N65" s="1">
        <f t="shared" si="8"/>
        <v>0.25240095480212832</v>
      </c>
      <c r="O65" s="4">
        <f t="shared" si="9"/>
        <v>19.717445760969539</v>
      </c>
      <c r="P65" s="4">
        <f t="shared" si="10"/>
        <v>19.717445760969539</v>
      </c>
      <c r="Q65">
        <f t="shared" si="11"/>
        <v>3696.6</v>
      </c>
      <c r="R65">
        <f t="shared" si="12"/>
        <v>4941.6665446458801</v>
      </c>
      <c r="S65">
        <f>B65/T65</f>
        <v>591.52337282908616</v>
      </c>
      <c r="T65">
        <v>123.22</v>
      </c>
      <c r="U65">
        <v>109.271</v>
      </c>
    </row>
    <row r="66" spans="1:21" x14ac:dyDescent="0.25">
      <c r="A66">
        <v>2020</v>
      </c>
      <c r="B66">
        <v>97183.34</v>
      </c>
      <c r="C66">
        <v>291550</v>
      </c>
      <c r="D66">
        <f t="shared" si="0"/>
        <v>129916.04717171068</v>
      </c>
      <c r="E66">
        <f t="shared" si="1"/>
        <v>389748.11477885256</v>
      </c>
      <c r="F66">
        <v>25350.35</v>
      </c>
      <c r="G66">
        <f t="shared" si="2"/>
        <v>33888.702183104389</v>
      </c>
      <c r="H66">
        <v>34</v>
      </c>
      <c r="I66">
        <f t="shared" si="3"/>
        <v>194366.66999999998</v>
      </c>
      <c r="J66">
        <f t="shared" si="4"/>
        <v>259832.0809752816</v>
      </c>
      <c r="K66">
        <f t="shared" si="5"/>
        <v>58392.682199999996</v>
      </c>
      <c r="L66">
        <f t="shared" si="6"/>
        <v>78060.153676318499</v>
      </c>
      <c r="M66" s="1">
        <f t="shared" si="7"/>
        <v>0.30042538774780675</v>
      </c>
      <c r="N66" s="1">
        <f t="shared" si="8"/>
        <v>0.30042538774780675</v>
      </c>
      <c r="O66" s="4">
        <f t="shared" si="9"/>
        <v>26.289925877833685</v>
      </c>
      <c r="P66" s="4">
        <f t="shared" si="10"/>
        <v>26.289925877833685</v>
      </c>
      <c r="Q66">
        <f t="shared" si="11"/>
        <v>3696.6</v>
      </c>
      <c r="R66">
        <f t="shared" si="12"/>
        <v>4941.6665446458801</v>
      </c>
      <c r="S66">
        <f>B66/T66</f>
        <v>788.69777633501053</v>
      </c>
      <c r="T66">
        <v>123.22</v>
      </c>
      <c r="U66">
        <v>109.271</v>
      </c>
    </row>
    <row r="67" spans="1:21" x14ac:dyDescent="0.25">
      <c r="A67" s="2">
        <v>2020</v>
      </c>
      <c r="B67" s="2">
        <v>291550.01</v>
      </c>
      <c r="C67" s="2"/>
      <c r="D67">
        <f t="shared" ref="D67:D130" si="13">B67*($U$123/U67)</f>
        <v>389748.12814699236</v>
      </c>
      <c r="E67">
        <f t="shared" ref="E67:E122" si="14">C67*($U$123/U67)</f>
        <v>0</v>
      </c>
      <c r="F67" s="2">
        <v>91435.02</v>
      </c>
      <c r="G67">
        <f t="shared" ref="G67:G122" si="15">F67*($U$123/U67)</f>
        <v>122231.6126556909</v>
      </c>
      <c r="H67" s="2">
        <v>35</v>
      </c>
      <c r="I67" s="2">
        <f>B67*1.5</f>
        <v>437325.01500000001</v>
      </c>
      <c r="J67">
        <f t="shared" ref="J67:J122" si="16">I67*($U$123/U67)</f>
        <v>584622.19222048845</v>
      </c>
      <c r="K67" s="2">
        <f t="shared" ref="K67:K130" si="17">F67+(I67-B67)*(H67/100)</f>
        <v>142456.27175000001</v>
      </c>
      <c r="L67">
        <f t="shared" ref="L67:L122" si="18">K67*($U$123/U67)</f>
        <v>190437.53508141456</v>
      </c>
      <c r="M67" s="3">
        <f t="shared" ref="M67:N130" si="19">K67/I67</f>
        <v>0.32574462210902799</v>
      </c>
      <c r="N67" s="1">
        <f t="shared" si="19"/>
        <v>0.32574462210902805</v>
      </c>
      <c r="O67" s="4">
        <f t="shared" ref="O67:O130" si="20">B67/Q67</f>
        <v>78.869774928312509</v>
      </c>
      <c r="P67" s="4">
        <f t="shared" ref="P67:P122" si="21">D67/R67</f>
        <v>78.869774928312509</v>
      </c>
      <c r="Q67">
        <f t="shared" ref="Q67:Q130" si="22">T67*30</f>
        <v>3696.6</v>
      </c>
      <c r="R67">
        <f t="shared" ref="R67:R122" si="23">Q67*($U$123/U67)</f>
        <v>4941.6665446458801</v>
      </c>
      <c r="S67" s="2">
        <f>B67/T67</f>
        <v>2366.0932478493751</v>
      </c>
      <c r="T67" s="2">
        <v>123.22</v>
      </c>
      <c r="U67">
        <v>109.271</v>
      </c>
    </row>
    <row r="68" spans="1:21" x14ac:dyDescent="0.25">
      <c r="A68">
        <v>2021</v>
      </c>
      <c r="B68">
        <v>0.01</v>
      </c>
      <c r="C68">
        <v>644.58000000000004</v>
      </c>
      <c r="D68">
        <f t="shared" si="13"/>
        <v>1.245226242029529E-2</v>
      </c>
      <c r="E68">
        <f t="shared" si="14"/>
        <v>802.64793108739389</v>
      </c>
      <c r="F68">
        <v>0</v>
      </c>
      <c r="G68">
        <f t="shared" si="15"/>
        <v>0</v>
      </c>
      <c r="H68">
        <v>1.92</v>
      </c>
      <c r="I68">
        <f t="shared" ref="I68:I130" si="24">(B68+C68)/2</f>
        <v>322.29500000000002</v>
      </c>
      <c r="J68">
        <f t="shared" si="16"/>
        <v>401.3301916749071</v>
      </c>
      <c r="K68">
        <f t="shared" si="17"/>
        <v>6.1878719999999996</v>
      </c>
      <c r="L68">
        <f t="shared" si="18"/>
        <v>7.705300596719745</v>
      </c>
      <c r="M68" s="1">
        <f t="shared" si="19"/>
        <v>1.9199404272483282E-2</v>
      </c>
      <c r="N68" s="1">
        <f t="shared" si="19"/>
        <v>1.9199404272483279E-2</v>
      </c>
      <c r="O68" s="4">
        <f t="shared" si="20"/>
        <v>2.3623907394283014E-6</v>
      </c>
      <c r="P68" s="4">
        <f t="shared" si="21"/>
        <v>2.3623907394283014E-6</v>
      </c>
      <c r="Q68">
        <f t="shared" si="22"/>
        <v>4233</v>
      </c>
      <c r="R68">
        <f t="shared" si="23"/>
        <v>5271.0426825109962</v>
      </c>
      <c r="S68">
        <f>B68/T68</f>
        <v>7.0871722182849051E-5</v>
      </c>
      <c r="T68">
        <v>141.1</v>
      </c>
      <c r="U68">
        <v>117.30800000000001</v>
      </c>
    </row>
    <row r="69" spans="1:21" x14ac:dyDescent="0.25">
      <c r="A69">
        <v>2021</v>
      </c>
      <c r="B69">
        <v>644.59</v>
      </c>
      <c r="C69">
        <v>5470.92</v>
      </c>
      <c r="D69">
        <f t="shared" si="13"/>
        <v>802.6603833498142</v>
      </c>
      <c r="E69">
        <f t="shared" si="14"/>
        <v>6812.5331520441914</v>
      </c>
      <c r="F69">
        <v>12.38</v>
      </c>
      <c r="G69">
        <f t="shared" si="15"/>
        <v>15.415900876325571</v>
      </c>
      <c r="H69">
        <v>6.4</v>
      </c>
      <c r="I69">
        <f t="shared" si="24"/>
        <v>3057.7550000000001</v>
      </c>
      <c r="J69">
        <f t="shared" si="16"/>
        <v>3807.5967676970026</v>
      </c>
      <c r="K69">
        <f t="shared" si="17"/>
        <v>166.82256000000001</v>
      </c>
      <c r="L69">
        <f t="shared" si="18"/>
        <v>207.73182947454563</v>
      </c>
      <c r="M69" s="1">
        <f t="shared" si="19"/>
        <v>5.455720291521067E-2</v>
      </c>
      <c r="N69" s="1">
        <f t="shared" si="19"/>
        <v>5.455720291521067E-2</v>
      </c>
      <c r="O69" s="4">
        <f t="shared" si="20"/>
        <v>0.1522773446728089</v>
      </c>
      <c r="P69" s="4">
        <f t="shared" si="21"/>
        <v>0.1522773446728089</v>
      </c>
      <c r="Q69">
        <f t="shared" si="22"/>
        <v>4233</v>
      </c>
      <c r="R69">
        <f t="shared" si="23"/>
        <v>5271.0426825109962</v>
      </c>
      <c r="S69">
        <f>B69/T69</f>
        <v>4.5683203401842665</v>
      </c>
      <c r="T69">
        <v>141.1</v>
      </c>
      <c r="U69">
        <v>117.30800000000001</v>
      </c>
    </row>
    <row r="70" spans="1:21" x14ac:dyDescent="0.25">
      <c r="A70">
        <v>2021</v>
      </c>
      <c r="B70">
        <v>5470.93</v>
      </c>
      <c r="C70">
        <v>9614.66</v>
      </c>
      <c r="D70">
        <f t="shared" si="13"/>
        <v>6812.5456043066115</v>
      </c>
      <c r="E70">
        <f t="shared" si="14"/>
        <v>11972.426940191632</v>
      </c>
      <c r="F70">
        <v>321.26</v>
      </c>
      <c r="G70">
        <f t="shared" si="15"/>
        <v>400.04138251440651</v>
      </c>
      <c r="H70">
        <v>10.88</v>
      </c>
      <c r="I70">
        <f t="shared" si="24"/>
        <v>7542.7950000000001</v>
      </c>
      <c r="J70">
        <f t="shared" si="16"/>
        <v>9392.4862722491216</v>
      </c>
      <c r="K70">
        <f t="shared" si="17"/>
        <v>546.67891199999997</v>
      </c>
      <c r="L70">
        <f t="shared" si="18"/>
        <v>680.73892718655156</v>
      </c>
      <c r="M70" s="1">
        <f t="shared" si="19"/>
        <v>7.2476968020475166E-2</v>
      </c>
      <c r="N70" s="1">
        <f t="shared" si="19"/>
        <v>7.2476968020475166E-2</v>
      </c>
      <c r="O70" s="4">
        <f t="shared" si="20"/>
        <v>1.2924474368060477</v>
      </c>
      <c r="P70" s="4">
        <f t="shared" si="21"/>
        <v>1.2924474368060479</v>
      </c>
      <c r="Q70">
        <f t="shared" si="22"/>
        <v>4233</v>
      </c>
      <c r="R70">
        <f t="shared" si="23"/>
        <v>5271.0426825109962</v>
      </c>
      <c r="S70">
        <f>B70/T70</f>
        <v>38.773423104181433</v>
      </c>
      <c r="T70">
        <v>141.1</v>
      </c>
      <c r="U70">
        <v>117.30800000000001</v>
      </c>
    </row>
    <row r="71" spans="1:21" x14ac:dyDescent="0.25">
      <c r="A71">
        <v>2021</v>
      </c>
      <c r="B71">
        <v>9614.67</v>
      </c>
      <c r="C71">
        <v>11176.62</v>
      </c>
      <c r="D71">
        <f t="shared" si="13"/>
        <v>11972.439392454053</v>
      </c>
      <c r="E71">
        <f t="shared" si="14"/>
        <v>13917.420521192076</v>
      </c>
      <c r="F71">
        <v>772.1</v>
      </c>
      <c r="G71">
        <f t="shared" si="15"/>
        <v>961.43918147099942</v>
      </c>
      <c r="H71">
        <v>16</v>
      </c>
      <c r="I71">
        <f t="shared" si="24"/>
        <v>10395.645</v>
      </c>
      <c r="J71">
        <f t="shared" si="16"/>
        <v>12944.929956823064</v>
      </c>
      <c r="K71">
        <f t="shared" si="17"/>
        <v>897.05600000000004</v>
      </c>
      <c r="L71">
        <f t="shared" si="18"/>
        <v>1117.0376717700412</v>
      </c>
      <c r="M71" s="1">
        <f t="shared" si="19"/>
        <v>8.6291519189045027E-2</v>
      </c>
      <c r="N71" s="1">
        <f t="shared" si="19"/>
        <v>8.6291519189045027E-2</v>
      </c>
      <c r="O71" s="4">
        <f t="shared" si="20"/>
        <v>2.2713607370659106</v>
      </c>
      <c r="P71" s="4">
        <f t="shared" si="21"/>
        <v>2.271360737065911</v>
      </c>
      <c r="Q71">
        <f t="shared" si="22"/>
        <v>4233</v>
      </c>
      <c r="R71">
        <f t="shared" si="23"/>
        <v>5271.0426825109962</v>
      </c>
      <c r="S71">
        <f>B71/T71</f>
        <v>68.140822111977329</v>
      </c>
      <c r="T71">
        <v>141.1</v>
      </c>
      <c r="U71">
        <v>117.30800000000001</v>
      </c>
    </row>
    <row r="72" spans="1:21" x14ac:dyDescent="0.25">
      <c r="A72">
        <v>2021</v>
      </c>
      <c r="B72">
        <v>11176.63</v>
      </c>
      <c r="C72">
        <v>13381.47</v>
      </c>
      <c r="D72">
        <f t="shared" si="13"/>
        <v>13917.432973454494</v>
      </c>
      <c r="E72">
        <f t="shared" si="14"/>
        <v>16662.95760093088</v>
      </c>
      <c r="F72">
        <v>1022.01</v>
      </c>
      <c r="G72">
        <f t="shared" si="15"/>
        <v>1272.633671616599</v>
      </c>
      <c r="H72">
        <v>17.920000000000002</v>
      </c>
      <c r="I72">
        <f t="shared" si="24"/>
        <v>12279.05</v>
      </c>
      <c r="J72">
        <f t="shared" si="16"/>
        <v>15290.195287192688</v>
      </c>
      <c r="K72">
        <f t="shared" si="17"/>
        <v>1219.563664</v>
      </c>
      <c r="L72">
        <f t="shared" si="18"/>
        <v>1518.6326782384833</v>
      </c>
      <c r="M72" s="1">
        <f t="shared" si="19"/>
        <v>9.932068555792184E-2</v>
      </c>
      <c r="N72" s="1">
        <f t="shared" si="19"/>
        <v>9.932068555792184E-2</v>
      </c>
      <c r="O72" s="4">
        <f t="shared" si="20"/>
        <v>2.6403567210016536</v>
      </c>
      <c r="P72" s="4">
        <f t="shared" si="21"/>
        <v>2.6403567210016536</v>
      </c>
      <c r="Q72">
        <f t="shared" si="22"/>
        <v>4233</v>
      </c>
      <c r="R72">
        <f t="shared" si="23"/>
        <v>5271.0426825109962</v>
      </c>
      <c r="S72">
        <f>B72/T72</f>
        <v>79.210701630049613</v>
      </c>
      <c r="T72">
        <v>141.1</v>
      </c>
      <c r="U72">
        <v>117.30800000000001</v>
      </c>
    </row>
    <row r="73" spans="1:21" x14ac:dyDescent="0.25">
      <c r="A73">
        <v>2021</v>
      </c>
      <c r="B73">
        <v>13381.48</v>
      </c>
      <c r="C73">
        <v>26988.5</v>
      </c>
      <c r="D73">
        <f t="shared" si="13"/>
        <v>16662.970053193301</v>
      </c>
      <c r="E73">
        <f t="shared" si="14"/>
        <v>33606.788433013942</v>
      </c>
      <c r="F73">
        <v>1417.12</v>
      </c>
      <c r="G73">
        <f t="shared" si="15"/>
        <v>1764.6350121048861</v>
      </c>
      <c r="H73">
        <v>21.36</v>
      </c>
      <c r="I73">
        <f t="shared" si="24"/>
        <v>20184.989999999998</v>
      </c>
      <c r="J73">
        <f t="shared" si="16"/>
        <v>25134.87924310362</v>
      </c>
      <c r="K73">
        <f t="shared" si="17"/>
        <v>2870.3497359999992</v>
      </c>
      <c r="L73">
        <f t="shared" si="18"/>
        <v>3574.2348150697298</v>
      </c>
      <c r="M73" s="1">
        <f t="shared" si="19"/>
        <v>0.1422021876651908</v>
      </c>
      <c r="N73" s="1">
        <f t="shared" si="19"/>
        <v>0.1422021876651908</v>
      </c>
      <c r="O73" s="4">
        <f t="shared" si="20"/>
        <v>3.1612284431845028</v>
      </c>
      <c r="P73" s="4">
        <f t="shared" si="21"/>
        <v>3.1612284431845028</v>
      </c>
      <c r="Q73">
        <f t="shared" si="22"/>
        <v>4233</v>
      </c>
      <c r="R73">
        <f t="shared" si="23"/>
        <v>5271.0426825109962</v>
      </c>
      <c r="S73">
        <f>B73/T73</f>
        <v>94.836853295535079</v>
      </c>
      <c r="T73">
        <v>141.1</v>
      </c>
      <c r="U73">
        <v>117.30800000000001</v>
      </c>
    </row>
    <row r="74" spans="1:21" x14ac:dyDescent="0.25">
      <c r="A74">
        <v>2021</v>
      </c>
      <c r="B74">
        <v>26988.51</v>
      </c>
      <c r="C74">
        <v>42537.58</v>
      </c>
      <c r="D74">
        <f t="shared" si="13"/>
        <v>33606.80088527636</v>
      </c>
      <c r="E74">
        <f t="shared" si="14"/>
        <v>52968.910888430459</v>
      </c>
      <c r="F74">
        <v>4323.58</v>
      </c>
      <c r="G74">
        <f t="shared" si="15"/>
        <v>5383.8352755140313</v>
      </c>
      <c r="H74">
        <v>23.52</v>
      </c>
      <c r="I74">
        <f t="shared" si="24"/>
        <v>34763.044999999998</v>
      </c>
      <c r="J74">
        <f t="shared" si="16"/>
        <v>43287.855886853409</v>
      </c>
      <c r="K74">
        <f t="shared" si="17"/>
        <v>6152.1506319999999</v>
      </c>
      <c r="L74">
        <f t="shared" si="18"/>
        <v>7660.8194118849515</v>
      </c>
      <c r="M74" s="1">
        <f t="shared" si="19"/>
        <v>0.1769738707296786</v>
      </c>
      <c r="N74" s="1">
        <f t="shared" si="19"/>
        <v>0.1769738707296786</v>
      </c>
      <c r="O74" s="4">
        <f t="shared" si="20"/>
        <v>6.3757406094968108</v>
      </c>
      <c r="P74" s="4">
        <f t="shared" si="21"/>
        <v>6.3757406094968099</v>
      </c>
      <c r="Q74">
        <f t="shared" si="22"/>
        <v>4233</v>
      </c>
      <c r="R74">
        <f t="shared" si="23"/>
        <v>5271.0426825109962</v>
      </c>
      <c r="S74">
        <f>B74/T74</f>
        <v>191.27221828490431</v>
      </c>
      <c r="T74">
        <v>141.1</v>
      </c>
      <c r="U74">
        <v>117.30800000000001</v>
      </c>
    </row>
    <row r="75" spans="1:21" x14ac:dyDescent="0.25">
      <c r="A75">
        <v>2021</v>
      </c>
      <c r="B75">
        <v>42537.59</v>
      </c>
      <c r="C75">
        <v>81211.25</v>
      </c>
      <c r="D75">
        <f t="shared" si="13"/>
        <v>52968.923340692869</v>
      </c>
      <c r="E75">
        <f t="shared" si="14"/>
        <v>101126.37964802059</v>
      </c>
      <c r="F75">
        <v>7980.73</v>
      </c>
      <c r="G75">
        <f t="shared" si="15"/>
        <v>9937.8144265523224</v>
      </c>
      <c r="H75">
        <v>30</v>
      </c>
      <c r="I75">
        <f t="shared" si="24"/>
        <v>61874.42</v>
      </c>
      <c r="J75">
        <f t="shared" si="16"/>
        <v>77047.651494356731</v>
      </c>
      <c r="K75">
        <f t="shared" si="17"/>
        <v>13781.778999999999</v>
      </c>
      <c r="L75">
        <f t="shared" si="18"/>
        <v>17161.43287265148</v>
      </c>
      <c r="M75" s="1">
        <f t="shared" si="19"/>
        <v>0.22273791010889474</v>
      </c>
      <c r="N75" s="1">
        <f t="shared" si="19"/>
        <v>0.22273791010889474</v>
      </c>
      <c r="O75" s="4">
        <f t="shared" si="20"/>
        <v>10.049040869359791</v>
      </c>
      <c r="P75" s="4">
        <f t="shared" si="21"/>
        <v>10.049040869359791</v>
      </c>
      <c r="Q75">
        <f t="shared" si="22"/>
        <v>4233</v>
      </c>
      <c r="R75">
        <f t="shared" si="23"/>
        <v>5271.0426825109962</v>
      </c>
      <c r="S75">
        <f>B75/T75</f>
        <v>301.47122608079377</v>
      </c>
      <c r="T75">
        <v>141.1</v>
      </c>
      <c r="U75">
        <v>117.30800000000001</v>
      </c>
    </row>
    <row r="76" spans="1:21" x14ac:dyDescent="0.25">
      <c r="A76">
        <v>2021</v>
      </c>
      <c r="B76">
        <v>81211.259999999995</v>
      </c>
      <c r="C76">
        <v>108281.67</v>
      </c>
      <c r="D76">
        <f t="shared" si="13"/>
        <v>101126.392100283</v>
      </c>
      <c r="E76">
        <f t="shared" si="14"/>
        <v>134835.1770147816</v>
      </c>
      <c r="F76">
        <v>19582.830000000002</v>
      </c>
      <c r="G76">
        <f t="shared" si="15"/>
        <v>24385.053809203124</v>
      </c>
      <c r="H76">
        <v>32</v>
      </c>
      <c r="I76">
        <f t="shared" si="24"/>
        <v>94746.464999999997</v>
      </c>
      <c r="J76">
        <f t="shared" si="16"/>
        <v>117980.7845575323</v>
      </c>
      <c r="K76">
        <f t="shared" si="17"/>
        <v>23914.095600000001</v>
      </c>
      <c r="L76">
        <f t="shared" si="18"/>
        <v>29778.459395522896</v>
      </c>
      <c r="M76" s="1">
        <f t="shared" si="19"/>
        <v>0.25240092704250233</v>
      </c>
      <c r="N76" s="1">
        <f t="shared" si="19"/>
        <v>0.25240092704250233</v>
      </c>
      <c r="O76" s="4">
        <f t="shared" si="20"/>
        <v>19.185272856130403</v>
      </c>
      <c r="P76" s="4">
        <f t="shared" si="21"/>
        <v>19.185272856130403</v>
      </c>
      <c r="Q76">
        <f t="shared" si="22"/>
        <v>4233</v>
      </c>
      <c r="R76">
        <f t="shared" si="23"/>
        <v>5271.0426825109962</v>
      </c>
      <c r="S76">
        <f>B76/T76</f>
        <v>575.55818568391214</v>
      </c>
      <c r="T76">
        <v>141.1</v>
      </c>
      <c r="U76">
        <v>117.30800000000001</v>
      </c>
    </row>
    <row r="77" spans="1:21" x14ac:dyDescent="0.25">
      <c r="A77">
        <v>2021</v>
      </c>
      <c r="B77">
        <v>108281.68</v>
      </c>
      <c r="C77">
        <v>324845.01</v>
      </c>
      <c r="D77">
        <f t="shared" si="13"/>
        <v>134835.18946704399</v>
      </c>
      <c r="E77">
        <f t="shared" si="14"/>
        <v>404505.53104434477</v>
      </c>
      <c r="F77">
        <v>28245.360000000001</v>
      </c>
      <c r="G77">
        <f t="shared" si="15"/>
        <v>35171.86348757118</v>
      </c>
      <c r="H77">
        <v>34</v>
      </c>
      <c r="I77">
        <f t="shared" si="24"/>
        <v>216563.345</v>
      </c>
      <c r="J77">
        <f t="shared" si="16"/>
        <v>269670.36025569442</v>
      </c>
      <c r="K77">
        <f t="shared" si="17"/>
        <v>65061.126100000009</v>
      </c>
      <c r="L77">
        <f t="shared" si="18"/>
        <v>81015.821555712319</v>
      </c>
      <c r="M77" s="1">
        <f t="shared" si="19"/>
        <v>0.3004253840833499</v>
      </c>
      <c r="N77" s="1">
        <f t="shared" si="19"/>
        <v>0.30042538408334984</v>
      </c>
      <c r="O77" s="4">
        <f t="shared" si="20"/>
        <v>25.580363808173871</v>
      </c>
      <c r="P77" s="4">
        <f t="shared" si="21"/>
        <v>25.580363808173868</v>
      </c>
      <c r="Q77">
        <f t="shared" si="22"/>
        <v>4233</v>
      </c>
      <c r="R77">
        <f t="shared" si="23"/>
        <v>5271.0426825109962</v>
      </c>
      <c r="S77">
        <f>B77/T77</f>
        <v>767.41091424521619</v>
      </c>
      <c r="T77">
        <v>141.1</v>
      </c>
      <c r="U77">
        <v>117.30800000000001</v>
      </c>
    </row>
    <row r="78" spans="1:21" x14ac:dyDescent="0.25">
      <c r="A78" s="2">
        <v>2021</v>
      </c>
      <c r="B78" s="2">
        <v>324845.02</v>
      </c>
      <c r="C78" s="2"/>
      <c r="D78">
        <f t="shared" si="13"/>
        <v>404505.54349660722</v>
      </c>
      <c r="E78">
        <f t="shared" si="14"/>
        <v>0</v>
      </c>
      <c r="F78" s="2">
        <v>101876.9</v>
      </c>
      <c r="G78">
        <f t="shared" si="15"/>
        <v>126859.78933661812</v>
      </c>
      <c r="H78" s="2">
        <v>35</v>
      </c>
      <c r="I78" s="2">
        <f>B78*1.5</f>
        <v>487267.53</v>
      </c>
      <c r="J78">
        <f t="shared" si="16"/>
        <v>606758.31524491089</v>
      </c>
      <c r="K78" s="2">
        <f t="shared" si="17"/>
        <v>158724.77849999999</v>
      </c>
      <c r="L78">
        <f t="shared" si="18"/>
        <v>197648.25944852436</v>
      </c>
      <c r="M78" s="3">
        <f t="shared" si="19"/>
        <v>0.3257446243134649</v>
      </c>
      <c r="N78" s="1">
        <f t="shared" si="19"/>
        <v>0.32574462431346485</v>
      </c>
      <c r="O78" s="4">
        <f t="shared" si="20"/>
        <v>76.741086699740137</v>
      </c>
      <c r="P78" s="4">
        <f t="shared" si="21"/>
        <v>76.741086699740137</v>
      </c>
      <c r="Q78">
        <f t="shared" si="22"/>
        <v>4233</v>
      </c>
      <c r="R78">
        <f t="shared" si="23"/>
        <v>5271.0426825109962</v>
      </c>
      <c r="S78" s="2">
        <f>B78/T78</f>
        <v>2302.2326009922044</v>
      </c>
      <c r="T78" s="2">
        <v>141.1</v>
      </c>
      <c r="U78">
        <v>117.30800000000001</v>
      </c>
    </row>
    <row r="79" spans="1:21" x14ac:dyDescent="0.25">
      <c r="A79">
        <v>2022</v>
      </c>
      <c r="B79">
        <v>0.01</v>
      </c>
      <c r="C79">
        <v>644.58000000000004</v>
      </c>
      <c r="D79">
        <f t="shared" si="13"/>
        <v>1.1549439428200952E-2</v>
      </c>
      <c r="E79">
        <f t="shared" si="14"/>
        <v>744.45376666297693</v>
      </c>
      <c r="F79">
        <v>0</v>
      </c>
      <c r="G79">
        <f t="shared" si="15"/>
        <v>0</v>
      </c>
      <c r="H79">
        <v>1.92</v>
      </c>
      <c r="I79">
        <f t="shared" si="24"/>
        <v>322.29500000000002</v>
      </c>
      <c r="J79">
        <f t="shared" si="16"/>
        <v>372.23265805120258</v>
      </c>
      <c r="K79">
        <f t="shared" si="17"/>
        <v>6.1878719999999996</v>
      </c>
      <c r="L79">
        <f t="shared" si="18"/>
        <v>7.1466452853460671</v>
      </c>
      <c r="M79" s="1">
        <f t="shared" si="19"/>
        <v>1.9199404272483282E-2</v>
      </c>
      <c r="N79" s="1">
        <f t="shared" si="19"/>
        <v>1.9199404272483282E-2</v>
      </c>
      <c r="O79" s="4">
        <f t="shared" si="20"/>
        <v>1.92823123348952E-6</v>
      </c>
      <c r="P79" s="4">
        <f t="shared" si="21"/>
        <v>1.92823123348952E-6</v>
      </c>
      <c r="Q79">
        <f t="shared" si="22"/>
        <v>5186.1000000000004</v>
      </c>
      <c r="R79">
        <f t="shared" si="23"/>
        <v>5989.6547818592962</v>
      </c>
      <c r="S79">
        <f>B79/T79</f>
        <v>5.7846937004685601E-5</v>
      </c>
      <c r="T79">
        <v>172.87</v>
      </c>
      <c r="U79">
        <v>126.47799999999999</v>
      </c>
    </row>
    <row r="80" spans="1:21" x14ac:dyDescent="0.25">
      <c r="A80">
        <v>2022</v>
      </c>
      <c r="B80">
        <v>644.59</v>
      </c>
      <c r="C80">
        <v>5470.92</v>
      </c>
      <c r="D80">
        <f t="shared" si="13"/>
        <v>744.46531610240515</v>
      </c>
      <c r="E80">
        <f t="shared" si="14"/>
        <v>6318.6059156533147</v>
      </c>
      <c r="F80">
        <v>12.38</v>
      </c>
      <c r="G80">
        <f t="shared" si="15"/>
        <v>14.298206012112779</v>
      </c>
      <c r="H80">
        <v>6.4</v>
      </c>
      <c r="I80">
        <f t="shared" si="24"/>
        <v>3057.7550000000001</v>
      </c>
      <c r="J80">
        <f t="shared" si="16"/>
        <v>3531.53561587786</v>
      </c>
      <c r="K80">
        <f t="shared" si="17"/>
        <v>166.82256000000001</v>
      </c>
      <c r="L80">
        <f t="shared" si="18"/>
        <v>192.67070519774191</v>
      </c>
      <c r="M80" s="1">
        <f t="shared" si="19"/>
        <v>5.455720291521067E-2</v>
      </c>
      <c r="N80" s="1">
        <f t="shared" si="19"/>
        <v>5.4557202915210677E-2</v>
      </c>
      <c r="O80" s="4">
        <f t="shared" si="20"/>
        <v>0.12429185707950097</v>
      </c>
      <c r="P80" s="4">
        <f t="shared" si="21"/>
        <v>0.12429185707950097</v>
      </c>
      <c r="Q80">
        <f t="shared" si="22"/>
        <v>5186.1000000000004</v>
      </c>
      <c r="R80">
        <f t="shared" si="23"/>
        <v>5989.6547818592962</v>
      </c>
      <c r="S80">
        <f>B80/T80</f>
        <v>3.7287557123850292</v>
      </c>
      <c r="T80">
        <v>172.87</v>
      </c>
      <c r="U80">
        <v>126.47799999999999</v>
      </c>
    </row>
    <row r="81" spans="1:21" x14ac:dyDescent="0.25">
      <c r="A81">
        <v>2022</v>
      </c>
      <c r="B81">
        <v>5470.93</v>
      </c>
      <c r="C81">
        <v>9614.66</v>
      </c>
      <c r="D81">
        <f t="shared" si="13"/>
        <v>6318.6174650927433</v>
      </c>
      <c r="E81">
        <f t="shared" si="14"/>
        <v>11104.393329274655</v>
      </c>
      <c r="F81">
        <v>321.26</v>
      </c>
      <c r="G81">
        <f t="shared" si="15"/>
        <v>371.03729107038379</v>
      </c>
      <c r="H81">
        <v>10.88</v>
      </c>
      <c r="I81">
        <f t="shared" si="24"/>
        <v>7542.7950000000001</v>
      </c>
      <c r="J81">
        <f t="shared" si="16"/>
        <v>8711.5053971837006</v>
      </c>
      <c r="K81">
        <f t="shared" si="17"/>
        <v>546.67891199999997</v>
      </c>
      <c r="L81">
        <f t="shared" si="18"/>
        <v>631.38349808187979</v>
      </c>
      <c r="M81" s="1">
        <f t="shared" si="19"/>
        <v>7.2476968020475166E-2</v>
      </c>
      <c r="N81" s="1">
        <f t="shared" si="19"/>
        <v>7.2476968020475152E-2</v>
      </c>
      <c r="O81" s="4">
        <f t="shared" si="20"/>
        <v>1.0549218102234821</v>
      </c>
      <c r="P81" s="4">
        <f t="shared" si="21"/>
        <v>1.0549218102234819</v>
      </c>
      <c r="Q81">
        <f t="shared" si="22"/>
        <v>5186.1000000000004</v>
      </c>
      <c r="R81">
        <f t="shared" si="23"/>
        <v>5989.6547818592962</v>
      </c>
      <c r="S81">
        <f>B81/T81</f>
        <v>31.64765430670446</v>
      </c>
      <c r="T81">
        <v>172.87</v>
      </c>
      <c r="U81">
        <v>126.47799999999999</v>
      </c>
    </row>
    <row r="82" spans="1:21" x14ac:dyDescent="0.25">
      <c r="A82">
        <v>2022</v>
      </c>
      <c r="B82">
        <v>9614.67</v>
      </c>
      <c r="C82">
        <v>11176.62</v>
      </c>
      <c r="D82">
        <f t="shared" si="13"/>
        <v>11104.404878714084</v>
      </c>
      <c r="E82">
        <f t="shared" si="14"/>
        <v>12908.369570201932</v>
      </c>
      <c r="F82">
        <v>772.1</v>
      </c>
      <c r="G82">
        <f t="shared" si="15"/>
        <v>891.73221825139547</v>
      </c>
      <c r="H82">
        <v>16</v>
      </c>
      <c r="I82">
        <f t="shared" si="24"/>
        <v>10395.645</v>
      </c>
      <c r="J82">
        <f t="shared" si="16"/>
        <v>12006.387224458009</v>
      </c>
      <c r="K82">
        <f t="shared" si="17"/>
        <v>897.05600000000004</v>
      </c>
      <c r="L82">
        <f t="shared" si="18"/>
        <v>1036.0493935704233</v>
      </c>
      <c r="M82" s="1">
        <f t="shared" si="19"/>
        <v>8.6291519189045027E-2</v>
      </c>
      <c r="N82" s="1">
        <f t="shared" si="19"/>
        <v>8.6291519189045027E-2</v>
      </c>
      <c r="O82" s="4">
        <f t="shared" si="20"/>
        <v>1.8539306993694682</v>
      </c>
      <c r="P82" s="4">
        <f t="shared" si="21"/>
        <v>1.853930699369468</v>
      </c>
      <c r="Q82">
        <f t="shared" si="22"/>
        <v>5186.1000000000004</v>
      </c>
      <c r="R82">
        <f t="shared" si="23"/>
        <v>5989.6547818592962</v>
      </c>
      <c r="S82">
        <f>B82/T82</f>
        <v>55.617920981084048</v>
      </c>
      <c r="T82">
        <v>172.87</v>
      </c>
      <c r="U82">
        <v>126.47799999999999</v>
      </c>
    </row>
    <row r="83" spans="1:21" x14ac:dyDescent="0.25">
      <c r="A83">
        <v>2022</v>
      </c>
      <c r="B83">
        <v>11176.63</v>
      </c>
      <c r="C83">
        <v>13381.47</v>
      </c>
      <c r="D83">
        <f t="shared" si="13"/>
        <v>12908.381119641359</v>
      </c>
      <c r="E83">
        <f t="shared" si="14"/>
        <v>15454.847722528819</v>
      </c>
      <c r="F83">
        <v>1022.01</v>
      </c>
      <c r="G83">
        <f t="shared" si="15"/>
        <v>1180.3642590015654</v>
      </c>
      <c r="H83">
        <v>17.920000000000002</v>
      </c>
      <c r="I83">
        <f t="shared" si="24"/>
        <v>12279.05</v>
      </c>
      <c r="J83">
        <f t="shared" si="16"/>
        <v>14181.614421085089</v>
      </c>
      <c r="K83">
        <f t="shared" si="17"/>
        <v>1219.563664</v>
      </c>
      <c r="L83">
        <f t="shared" si="18"/>
        <v>1408.5276666202817</v>
      </c>
      <c r="M83" s="1">
        <f t="shared" si="19"/>
        <v>9.932068555792184E-2</v>
      </c>
      <c r="N83" s="1">
        <f t="shared" si="19"/>
        <v>9.9320685557921826E-2</v>
      </c>
      <c r="O83" s="4">
        <f t="shared" si="20"/>
        <v>2.1551127051155969</v>
      </c>
      <c r="P83" s="4">
        <f t="shared" si="21"/>
        <v>2.1551127051155969</v>
      </c>
      <c r="Q83">
        <f t="shared" si="22"/>
        <v>5186.1000000000004</v>
      </c>
      <c r="R83">
        <f t="shared" si="23"/>
        <v>5989.6547818592962</v>
      </c>
      <c r="S83">
        <f>B83/T83</f>
        <v>64.653381153467919</v>
      </c>
      <c r="T83">
        <v>172.87</v>
      </c>
      <c r="U83">
        <v>126.47799999999999</v>
      </c>
    </row>
    <row r="84" spans="1:21" x14ac:dyDescent="0.25">
      <c r="A84">
        <v>2022</v>
      </c>
      <c r="B84">
        <v>13381.48</v>
      </c>
      <c r="C84">
        <v>26988.5</v>
      </c>
      <c r="D84">
        <f t="shared" si="13"/>
        <v>15454.859271968246</v>
      </c>
      <c r="E84">
        <f t="shared" si="14"/>
        <v>31170.204600800138</v>
      </c>
      <c r="F84">
        <v>1417.12</v>
      </c>
      <c r="G84">
        <f t="shared" si="15"/>
        <v>1636.6941602492132</v>
      </c>
      <c r="H84">
        <v>21.36</v>
      </c>
      <c r="I84">
        <f t="shared" si="24"/>
        <v>20184.989999999998</v>
      </c>
      <c r="J84">
        <f t="shared" si="16"/>
        <v>23312.531936384192</v>
      </c>
      <c r="K84">
        <f t="shared" si="17"/>
        <v>2870.3497359999992</v>
      </c>
      <c r="L84">
        <f t="shared" si="18"/>
        <v>3315.0930413684582</v>
      </c>
      <c r="M84" s="1">
        <f t="shared" si="19"/>
        <v>0.1422021876651908</v>
      </c>
      <c r="N84" s="1">
        <f t="shared" si="19"/>
        <v>0.14220218766519077</v>
      </c>
      <c r="O84" s="4">
        <f t="shared" si="20"/>
        <v>2.5802587686315341</v>
      </c>
      <c r="P84" s="4">
        <f t="shared" si="21"/>
        <v>2.5802587686315337</v>
      </c>
      <c r="Q84">
        <f t="shared" si="22"/>
        <v>5186.1000000000004</v>
      </c>
      <c r="R84">
        <f t="shared" si="23"/>
        <v>5989.6547818592962</v>
      </c>
      <c r="S84">
        <f>B84/T84</f>
        <v>77.407763058946031</v>
      </c>
      <c r="T84">
        <v>172.87</v>
      </c>
      <c r="U84">
        <v>126.47799999999999</v>
      </c>
    </row>
    <row r="85" spans="1:21" x14ac:dyDescent="0.25">
      <c r="A85">
        <v>2022</v>
      </c>
      <c r="B85">
        <v>26988.51</v>
      </c>
      <c r="C85">
        <v>42537.58</v>
      </c>
      <c r="D85">
        <f t="shared" si="13"/>
        <v>31170.216150239565</v>
      </c>
      <c r="E85">
        <f t="shared" si="14"/>
        <v>49128.520363225223</v>
      </c>
      <c r="F85">
        <v>4323.58</v>
      </c>
      <c r="G85">
        <f t="shared" si="15"/>
        <v>4993.4925322981071</v>
      </c>
      <c r="H85">
        <v>23.52</v>
      </c>
      <c r="I85">
        <f t="shared" si="24"/>
        <v>34763.044999999998</v>
      </c>
      <c r="J85">
        <f t="shared" si="16"/>
        <v>40149.368256732392</v>
      </c>
      <c r="K85">
        <f t="shared" si="17"/>
        <v>6152.1506319999999</v>
      </c>
      <c r="L85">
        <f t="shared" si="18"/>
        <v>7105.3891077452199</v>
      </c>
      <c r="M85" s="1">
        <f t="shared" si="19"/>
        <v>0.1769738707296786</v>
      </c>
      <c r="N85" s="1">
        <f t="shared" si="19"/>
        <v>0.1769738707296786</v>
      </c>
      <c r="O85" s="4">
        <f t="shared" si="20"/>
        <v>5.2040087927344238</v>
      </c>
      <c r="P85" s="4">
        <f t="shared" si="21"/>
        <v>5.2040087927344238</v>
      </c>
      <c r="Q85">
        <f t="shared" si="22"/>
        <v>5186.1000000000004</v>
      </c>
      <c r="R85">
        <f t="shared" si="23"/>
        <v>5989.6547818592962</v>
      </c>
      <c r="S85">
        <f>B85/T85</f>
        <v>156.12026378203274</v>
      </c>
      <c r="T85">
        <v>172.87</v>
      </c>
      <c r="U85">
        <v>126.47799999999999</v>
      </c>
    </row>
    <row r="86" spans="1:21" x14ac:dyDescent="0.25">
      <c r="A86">
        <v>2022</v>
      </c>
      <c r="B86">
        <v>42537.59</v>
      </c>
      <c r="C86">
        <v>81211.25</v>
      </c>
      <c r="D86">
        <f t="shared" si="13"/>
        <v>49128.53191266465</v>
      </c>
      <c r="E86">
        <f t="shared" si="14"/>
        <v>93794.441276348458</v>
      </c>
      <c r="F86">
        <v>7980.73</v>
      </c>
      <c r="G86">
        <f t="shared" si="15"/>
        <v>9217.2957727826179</v>
      </c>
      <c r="H86">
        <v>30</v>
      </c>
      <c r="I86">
        <f t="shared" si="24"/>
        <v>61874.42</v>
      </c>
      <c r="J86">
        <f t="shared" si="16"/>
        <v>71461.486594506554</v>
      </c>
      <c r="K86">
        <f t="shared" si="17"/>
        <v>13781.778999999999</v>
      </c>
      <c r="L86">
        <f t="shared" si="18"/>
        <v>15917.182177335186</v>
      </c>
      <c r="M86" s="1">
        <f t="shared" si="19"/>
        <v>0.22273791010889474</v>
      </c>
      <c r="N86" s="1">
        <f t="shared" si="19"/>
        <v>0.22273791010889471</v>
      </c>
      <c r="O86" s="4">
        <f t="shared" si="20"/>
        <v>8.2022309635371453</v>
      </c>
      <c r="P86" s="4">
        <f t="shared" si="21"/>
        <v>8.2022309635371453</v>
      </c>
      <c r="Q86">
        <f t="shared" si="22"/>
        <v>5186.1000000000004</v>
      </c>
      <c r="R86">
        <f t="shared" si="23"/>
        <v>5989.6547818592962</v>
      </c>
      <c r="S86">
        <f>B86/T86</f>
        <v>246.06692890611438</v>
      </c>
      <c r="T86">
        <v>172.87</v>
      </c>
      <c r="U86">
        <v>126.47799999999999</v>
      </c>
    </row>
    <row r="87" spans="1:21" x14ac:dyDescent="0.25">
      <c r="A87">
        <v>2022</v>
      </c>
      <c r="B87">
        <v>81211.259999999995</v>
      </c>
      <c r="C87">
        <v>108281.67</v>
      </c>
      <c r="D87">
        <f t="shared" si="13"/>
        <v>93794.45282578787</v>
      </c>
      <c r="E87">
        <f t="shared" si="14"/>
        <v>125059.25888494441</v>
      </c>
      <c r="F87">
        <v>19582.830000000002</v>
      </c>
      <c r="G87">
        <f t="shared" si="15"/>
        <v>22617.070891775646</v>
      </c>
      <c r="H87">
        <v>32</v>
      </c>
      <c r="I87">
        <f t="shared" si="24"/>
        <v>94746.464999999997</v>
      </c>
      <c r="J87">
        <f t="shared" si="16"/>
        <v>109426.85585536614</v>
      </c>
      <c r="K87">
        <f t="shared" si="17"/>
        <v>23914.095600000001</v>
      </c>
      <c r="L87">
        <f t="shared" si="18"/>
        <v>27619.439861240691</v>
      </c>
      <c r="M87" s="1">
        <f t="shared" si="19"/>
        <v>0.25240092704250233</v>
      </c>
      <c r="N87" s="1">
        <f t="shared" si="19"/>
        <v>0.25240092704250233</v>
      </c>
      <c r="O87" s="4">
        <f t="shared" si="20"/>
        <v>15.65940880430381</v>
      </c>
      <c r="P87" s="4">
        <f t="shared" si="21"/>
        <v>15.659408804303808</v>
      </c>
      <c r="Q87">
        <f t="shared" si="22"/>
        <v>5186.1000000000004</v>
      </c>
      <c r="R87">
        <f t="shared" si="23"/>
        <v>5989.6547818592962</v>
      </c>
      <c r="S87">
        <f>B87/T87</f>
        <v>469.78226412911431</v>
      </c>
      <c r="T87">
        <v>172.87</v>
      </c>
      <c r="U87">
        <v>126.47799999999999</v>
      </c>
    </row>
    <row r="88" spans="1:21" x14ac:dyDescent="0.25">
      <c r="A88">
        <v>2022</v>
      </c>
      <c r="B88">
        <v>108281.68</v>
      </c>
      <c r="C88">
        <v>324845.01</v>
      </c>
      <c r="D88">
        <f t="shared" si="13"/>
        <v>125059.27043438383</v>
      </c>
      <c r="E88">
        <f t="shared" si="14"/>
        <v>375177.77665483323</v>
      </c>
      <c r="F88">
        <v>28245.360000000001</v>
      </c>
      <c r="G88">
        <f t="shared" si="15"/>
        <v>32621.807444773003</v>
      </c>
      <c r="H88">
        <v>34</v>
      </c>
      <c r="I88">
        <f t="shared" si="24"/>
        <v>216563.345</v>
      </c>
      <c r="J88">
        <f t="shared" si="16"/>
        <v>250118.52354460853</v>
      </c>
      <c r="K88">
        <f t="shared" si="17"/>
        <v>65061.126100000009</v>
      </c>
      <c r="L88">
        <f t="shared" si="18"/>
        <v>75141.953502249409</v>
      </c>
      <c r="M88" s="1">
        <f t="shared" si="19"/>
        <v>0.3004253840833499</v>
      </c>
      <c r="N88" s="1">
        <f t="shared" si="19"/>
        <v>0.3004253840833499</v>
      </c>
      <c r="O88" s="4">
        <f t="shared" si="20"/>
        <v>20.879211739071746</v>
      </c>
      <c r="P88" s="4">
        <f t="shared" si="21"/>
        <v>20.879211739071746</v>
      </c>
      <c r="Q88">
        <f t="shared" si="22"/>
        <v>5186.1000000000004</v>
      </c>
      <c r="R88">
        <f t="shared" si="23"/>
        <v>5989.6547818592962</v>
      </c>
      <c r="S88">
        <f>B88/T88</f>
        <v>626.37635217215245</v>
      </c>
      <c r="T88">
        <v>172.87</v>
      </c>
      <c r="U88">
        <v>126.47799999999999</v>
      </c>
    </row>
    <row r="89" spans="1:21" x14ac:dyDescent="0.25">
      <c r="A89" s="2">
        <v>2022</v>
      </c>
      <c r="B89" s="2">
        <v>324845.02</v>
      </c>
      <c r="C89" s="2"/>
      <c r="D89">
        <f t="shared" si="13"/>
        <v>375177.78820427269</v>
      </c>
      <c r="E89">
        <f t="shared" si="14"/>
        <v>0</v>
      </c>
      <c r="F89" s="2">
        <v>101876.9</v>
      </c>
      <c r="G89">
        <f t="shared" si="15"/>
        <v>117662.10856828855</v>
      </c>
      <c r="H89" s="2">
        <v>35</v>
      </c>
      <c r="I89" s="2">
        <f>B89*1.5</f>
        <v>487267.53</v>
      </c>
      <c r="J89">
        <f t="shared" si="16"/>
        <v>562766.682306409</v>
      </c>
      <c r="K89" s="2">
        <f t="shared" si="17"/>
        <v>158724.77849999999</v>
      </c>
      <c r="L89">
        <f t="shared" si="18"/>
        <v>183318.22150403625</v>
      </c>
      <c r="M89" s="3">
        <f t="shared" si="19"/>
        <v>0.3257446243134649</v>
      </c>
      <c r="N89" s="1">
        <f t="shared" si="19"/>
        <v>0.3257446243134649</v>
      </c>
      <c r="O89" s="4">
        <f t="shared" si="20"/>
        <v>62.637631360752778</v>
      </c>
      <c r="P89" s="4">
        <f t="shared" si="21"/>
        <v>62.637631360752778</v>
      </c>
      <c r="Q89">
        <f t="shared" si="22"/>
        <v>5186.1000000000004</v>
      </c>
      <c r="R89">
        <f t="shared" si="23"/>
        <v>5989.6547818592962</v>
      </c>
      <c r="S89" s="2">
        <f>B89/T89</f>
        <v>1879.1289408225834</v>
      </c>
      <c r="T89" s="2">
        <v>172.87</v>
      </c>
      <c r="U89">
        <v>126.47799999999999</v>
      </c>
    </row>
    <row r="90" spans="1:21" x14ac:dyDescent="0.25">
      <c r="A90">
        <v>2023</v>
      </c>
      <c r="B90">
        <v>0.01</v>
      </c>
      <c r="C90">
        <v>746.04</v>
      </c>
      <c r="D90">
        <f t="shared" si="13"/>
        <v>1.1035105346256411E-2</v>
      </c>
      <c r="E90">
        <f t="shared" si="14"/>
        <v>823.26299925211322</v>
      </c>
      <c r="F90">
        <v>0</v>
      </c>
      <c r="G90">
        <f t="shared" si="15"/>
        <v>0</v>
      </c>
      <c r="H90">
        <v>1.92</v>
      </c>
      <c r="I90">
        <f t="shared" si="24"/>
        <v>373.02499999999998</v>
      </c>
      <c r="J90">
        <f t="shared" si="16"/>
        <v>411.63701717872976</v>
      </c>
      <c r="K90">
        <f t="shared" si="17"/>
        <v>7.1618879999999994</v>
      </c>
      <c r="L90">
        <f t="shared" si="18"/>
        <v>7.9032188558089622</v>
      </c>
      <c r="M90" s="1">
        <f t="shared" si="19"/>
        <v>1.9199485289189733E-2</v>
      </c>
      <c r="N90" s="1">
        <f t="shared" si="19"/>
        <v>1.919948528918973E-2</v>
      </c>
      <c r="O90" s="4">
        <f t="shared" si="20"/>
        <v>1.6068903458028024E-6</v>
      </c>
      <c r="P90" s="4">
        <f t="shared" si="21"/>
        <v>1.6068903458028024E-6</v>
      </c>
      <c r="Q90">
        <f t="shared" si="22"/>
        <v>6223.2</v>
      </c>
      <c r="R90">
        <f t="shared" si="23"/>
        <v>6867.3667590822897</v>
      </c>
      <c r="S90">
        <f>B90/T90</f>
        <v>4.8206710374084072E-5</v>
      </c>
      <c r="T90">
        <v>207.44</v>
      </c>
      <c r="U90">
        <v>132.37299999999999</v>
      </c>
    </row>
    <row r="91" spans="1:21" x14ac:dyDescent="0.25">
      <c r="A91">
        <v>2023</v>
      </c>
      <c r="B91">
        <v>746.05</v>
      </c>
      <c r="C91">
        <v>6332.05</v>
      </c>
      <c r="D91">
        <f t="shared" si="13"/>
        <v>823.27403435745953</v>
      </c>
      <c r="E91">
        <f t="shared" si="14"/>
        <v>6987.4838807762908</v>
      </c>
      <c r="F91">
        <v>14.32</v>
      </c>
      <c r="G91">
        <f t="shared" si="15"/>
        <v>15.802270855839181</v>
      </c>
      <c r="H91">
        <v>6.4</v>
      </c>
      <c r="I91">
        <f t="shared" si="24"/>
        <v>3539.05</v>
      </c>
      <c r="J91">
        <f t="shared" si="16"/>
        <v>3905.3789575668752</v>
      </c>
      <c r="K91">
        <f t="shared" si="17"/>
        <v>193.072</v>
      </c>
      <c r="L91">
        <f t="shared" si="18"/>
        <v>213.05698594124178</v>
      </c>
      <c r="M91" s="1">
        <f t="shared" si="19"/>
        <v>5.4554753394272473E-2</v>
      </c>
      <c r="N91" s="1">
        <f t="shared" si="19"/>
        <v>5.4554753394272473E-2</v>
      </c>
      <c r="O91" s="4">
        <f t="shared" si="20"/>
        <v>0.11988205424861807</v>
      </c>
      <c r="P91" s="4">
        <f t="shared" si="21"/>
        <v>0.11988205424861807</v>
      </c>
      <c r="Q91">
        <f t="shared" si="22"/>
        <v>6223.2</v>
      </c>
      <c r="R91">
        <f t="shared" si="23"/>
        <v>6867.3667590822897</v>
      </c>
      <c r="S91">
        <f>B91/T91</f>
        <v>3.5964616274585421</v>
      </c>
      <c r="T91">
        <v>207.44</v>
      </c>
      <c r="U91">
        <v>132.37299999999999</v>
      </c>
    </row>
    <row r="92" spans="1:21" x14ac:dyDescent="0.25">
      <c r="A92">
        <v>2023</v>
      </c>
      <c r="B92">
        <v>6332.06</v>
      </c>
      <c r="C92">
        <v>11128.01</v>
      </c>
      <c r="D92">
        <f t="shared" si="13"/>
        <v>6987.4949158816371</v>
      </c>
      <c r="E92">
        <f t="shared" si="14"/>
        <v>12279.876264419481</v>
      </c>
      <c r="F92">
        <v>371.83</v>
      </c>
      <c r="G92">
        <f t="shared" si="15"/>
        <v>410.31832208985213</v>
      </c>
      <c r="H92">
        <v>10.88</v>
      </c>
      <c r="I92">
        <f t="shared" si="24"/>
        <v>8730.0349999999999</v>
      </c>
      <c r="J92">
        <f t="shared" si="16"/>
        <v>9633.6855901505587</v>
      </c>
      <c r="K92">
        <f t="shared" si="17"/>
        <v>632.72967999999992</v>
      </c>
      <c r="L92">
        <f t="shared" si="18"/>
        <v>698.22386745031076</v>
      </c>
      <c r="M92" s="1">
        <f t="shared" si="19"/>
        <v>7.2477336001516596E-2</v>
      </c>
      <c r="N92" s="1">
        <f t="shared" si="19"/>
        <v>7.2477336001516596E-2</v>
      </c>
      <c r="O92" s="4">
        <f t="shared" si="20"/>
        <v>1.0174926083044094</v>
      </c>
      <c r="P92" s="4">
        <f t="shared" si="21"/>
        <v>1.0174926083044094</v>
      </c>
      <c r="Q92">
        <f t="shared" si="22"/>
        <v>6223.2</v>
      </c>
      <c r="R92">
        <f t="shared" si="23"/>
        <v>6867.3667590822897</v>
      </c>
      <c r="S92">
        <f>B92/T92</f>
        <v>30.524778249132282</v>
      </c>
      <c r="T92">
        <v>207.44</v>
      </c>
      <c r="U92">
        <v>132.37299999999999</v>
      </c>
    </row>
    <row r="93" spans="1:21" x14ac:dyDescent="0.25">
      <c r="A93">
        <v>2023</v>
      </c>
      <c r="B93">
        <v>11128.02</v>
      </c>
      <c r="C93">
        <v>12935.82</v>
      </c>
      <c r="D93">
        <f t="shared" si="13"/>
        <v>12279.887299524828</v>
      </c>
      <c r="E93">
        <f t="shared" si="14"/>
        <v>14274.81364402106</v>
      </c>
      <c r="F93">
        <v>893.63</v>
      </c>
      <c r="G93">
        <f t="shared" si="15"/>
        <v>986.13011905751159</v>
      </c>
      <c r="H93">
        <v>16</v>
      </c>
      <c r="I93">
        <f t="shared" si="24"/>
        <v>12031.92</v>
      </c>
      <c r="J93">
        <f t="shared" si="16"/>
        <v>13277.350471772943</v>
      </c>
      <c r="K93">
        <f t="shared" si="17"/>
        <v>1038.2539999999999</v>
      </c>
      <c r="L93">
        <f t="shared" si="18"/>
        <v>1145.7242266172102</v>
      </c>
      <c r="M93" s="1">
        <f t="shared" si="19"/>
        <v>8.6291630928397117E-2</v>
      </c>
      <c r="N93" s="1">
        <f t="shared" si="19"/>
        <v>8.6291630928397117E-2</v>
      </c>
      <c r="O93" s="4">
        <f t="shared" si="20"/>
        <v>1.7881507905900502</v>
      </c>
      <c r="P93" s="4">
        <f t="shared" si="21"/>
        <v>1.7881507905900502</v>
      </c>
      <c r="Q93">
        <f t="shared" si="22"/>
        <v>6223.2</v>
      </c>
      <c r="R93">
        <f t="shared" si="23"/>
        <v>6867.3667590822897</v>
      </c>
      <c r="S93">
        <f>B93/T93</f>
        <v>53.64452371770151</v>
      </c>
      <c r="T93">
        <v>207.44</v>
      </c>
      <c r="U93">
        <v>132.37299999999999</v>
      </c>
    </row>
    <row r="94" spans="1:21" x14ac:dyDescent="0.25">
      <c r="A94">
        <v>2023</v>
      </c>
      <c r="B94">
        <v>12935.83</v>
      </c>
      <c r="C94">
        <v>15487.71</v>
      </c>
      <c r="D94">
        <f t="shared" si="13"/>
        <v>14274.824679126406</v>
      </c>
      <c r="E94">
        <f t="shared" si="14"/>
        <v>17090.851142226886</v>
      </c>
      <c r="F94">
        <v>1182.8800000000001</v>
      </c>
      <c r="G94">
        <f t="shared" si="15"/>
        <v>1305.3205411979784</v>
      </c>
      <c r="H94">
        <v>17.920000000000002</v>
      </c>
      <c r="I94">
        <f t="shared" si="24"/>
        <v>14211.77</v>
      </c>
      <c r="J94">
        <f t="shared" si="16"/>
        <v>15682.837910676648</v>
      </c>
      <c r="K94">
        <f t="shared" si="17"/>
        <v>1411.5284480000003</v>
      </c>
      <c r="L94">
        <f t="shared" si="18"/>
        <v>1557.6365122917816</v>
      </c>
      <c r="M94" s="1">
        <f t="shared" si="19"/>
        <v>9.9321087239661224E-2</v>
      </c>
      <c r="N94" s="1">
        <f t="shared" si="19"/>
        <v>9.9321087239661224E-2</v>
      </c>
      <c r="O94" s="4">
        <f t="shared" si="20"/>
        <v>2.0786460341946267</v>
      </c>
      <c r="P94" s="4">
        <f t="shared" si="21"/>
        <v>2.0786460341946267</v>
      </c>
      <c r="Q94">
        <f t="shared" si="22"/>
        <v>6223.2</v>
      </c>
      <c r="R94">
        <f t="shared" si="23"/>
        <v>6867.3667590822897</v>
      </c>
      <c r="S94">
        <f>B94/T94</f>
        <v>62.3593810258388</v>
      </c>
      <c r="T94">
        <v>207.44</v>
      </c>
      <c r="U94">
        <v>132.37299999999999</v>
      </c>
    </row>
    <row r="95" spans="1:21" x14ac:dyDescent="0.25">
      <c r="A95">
        <v>2023</v>
      </c>
      <c r="B95">
        <v>15487.72</v>
      </c>
      <c r="C95">
        <v>31236.49</v>
      </c>
      <c r="D95">
        <f t="shared" si="13"/>
        <v>17090.862177332234</v>
      </c>
      <c r="E95">
        <f t="shared" si="14"/>
        <v>34469.795779728491</v>
      </c>
      <c r="F95">
        <v>1640.18</v>
      </c>
      <c r="G95">
        <f t="shared" si="15"/>
        <v>1809.955908682284</v>
      </c>
      <c r="H95">
        <v>21.36</v>
      </c>
      <c r="I95">
        <f t="shared" si="24"/>
        <v>23362.105</v>
      </c>
      <c r="J95">
        <f t="shared" si="16"/>
        <v>25780.32897853036</v>
      </c>
      <c r="K95">
        <f t="shared" si="17"/>
        <v>3322.1486359999999</v>
      </c>
      <c r="L95">
        <f t="shared" si="18"/>
        <v>3666.026017418204</v>
      </c>
      <c r="M95" s="1">
        <f t="shared" si="19"/>
        <v>0.14220245290396563</v>
      </c>
      <c r="N95" s="1">
        <f t="shared" si="19"/>
        <v>0.14220245290396563</v>
      </c>
      <c r="O95" s="4">
        <f t="shared" si="20"/>
        <v>2.4887067746496978</v>
      </c>
      <c r="P95" s="4">
        <f t="shared" si="21"/>
        <v>2.4887067746496978</v>
      </c>
      <c r="Q95">
        <f t="shared" si="22"/>
        <v>6223.2</v>
      </c>
      <c r="R95">
        <f t="shared" si="23"/>
        <v>6867.3667590822897</v>
      </c>
      <c r="S95">
        <f>B95/T95</f>
        <v>74.661203239490931</v>
      </c>
      <c r="T95">
        <v>207.44</v>
      </c>
      <c r="U95">
        <v>132.37299999999999</v>
      </c>
    </row>
    <row r="96" spans="1:21" x14ac:dyDescent="0.25">
      <c r="A96">
        <v>2023</v>
      </c>
      <c r="B96">
        <v>31236.5</v>
      </c>
      <c r="C96">
        <v>49233</v>
      </c>
      <c r="D96">
        <f t="shared" si="13"/>
        <v>34469.806814833835</v>
      </c>
      <c r="E96">
        <f t="shared" si="14"/>
        <v>54329.134151224185</v>
      </c>
      <c r="F96">
        <v>5004.12</v>
      </c>
      <c r="G96">
        <f t="shared" si="15"/>
        <v>5522.0991365308628</v>
      </c>
      <c r="H96">
        <v>23.52</v>
      </c>
      <c r="I96">
        <f t="shared" si="24"/>
        <v>40234.75</v>
      </c>
      <c r="J96">
        <f t="shared" si="16"/>
        <v>44399.470483029014</v>
      </c>
      <c r="K96">
        <f t="shared" si="17"/>
        <v>7120.5083999999997</v>
      </c>
      <c r="L96">
        <f t="shared" si="18"/>
        <v>7857.5560312903681</v>
      </c>
      <c r="M96" s="1">
        <f t="shared" si="19"/>
        <v>0.17697409329000427</v>
      </c>
      <c r="N96" s="1">
        <f t="shared" si="19"/>
        <v>0.17697409329000427</v>
      </c>
      <c r="O96" s="4">
        <f t="shared" si="20"/>
        <v>5.0193630286669242</v>
      </c>
      <c r="P96" s="4">
        <f t="shared" si="21"/>
        <v>5.0193630286669233</v>
      </c>
      <c r="Q96">
        <f t="shared" si="22"/>
        <v>6223.2</v>
      </c>
      <c r="R96">
        <f t="shared" si="23"/>
        <v>6867.3667590822897</v>
      </c>
      <c r="S96">
        <f>B96/T96</f>
        <v>150.58089086000771</v>
      </c>
      <c r="T96">
        <v>207.44</v>
      </c>
      <c r="U96">
        <v>132.37299999999999</v>
      </c>
    </row>
    <row r="97" spans="1:21" x14ac:dyDescent="0.25">
      <c r="A97">
        <v>2023</v>
      </c>
      <c r="B97">
        <v>49233.01</v>
      </c>
      <c r="C97">
        <v>93993.9</v>
      </c>
      <c r="D97">
        <f t="shared" si="13"/>
        <v>54329.145186329537</v>
      </c>
      <c r="E97">
        <f t="shared" si="14"/>
        <v>103723.25884054904</v>
      </c>
      <c r="F97">
        <v>9236.89</v>
      </c>
      <c r="G97">
        <f t="shared" si="15"/>
        <v>10193.005422178237</v>
      </c>
      <c r="H97">
        <v>30</v>
      </c>
      <c r="I97">
        <f t="shared" si="24"/>
        <v>71613.455000000002</v>
      </c>
      <c r="J97">
        <f t="shared" si="16"/>
        <v>79026.202013439295</v>
      </c>
      <c r="K97">
        <f t="shared" si="17"/>
        <v>15951.023499999999</v>
      </c>
      <c r="L97">
        <f t="shared" si="18"/>
        <v>17602.122470311166</v>
      </c>
      <c r="M97" s="1">
        <f t="shared" si="19"/>
        <v>0.22273780115761765</v>
      </c>
      <c r="N97" s="1">
        <f t="shared" si="19"/>
        <v>0.22273780115761765</v>
      </c>
      <c r="O97" s="4">
        <f t="shared" si="20"/>
        <v>7.9112048463812839</v>
      </c>
      <c r="P97" s="4">
        <f t="shared" si="21"/>
        <v>7.911204846381283</v>
      </c>
      <c r="Q97">
        <f t="shared" si="22"/>
        <v>6223.2</v>
      </c>
      <c r="R97">
        <f t="shared" si="23"/>
        <v>6867.3667590822897</v>
      </c>
      <c r="S97">
        <f>B97/T97</f>
        <v>237.33614539143849</v>
      </c>
      <c r="T97">
        <v>207.44</v>
      </c>
      <c r="U97">
        <v>132.37299999999999</v>
      </c>
    </row>
    <row r="98" spans="1:21" x14ac:dyDescent="0.25">
      <c r="A98">
        <v>2023</v>
      </c>
      <c r="B98">
        <v>93993.91</v>
      </c>
      <c r="C98">
        <v>125325.2</v>
      </c>
      <c r="D98">
        <f t="shared" si="13"/>
        <v>103723.2698756544</v>
      </c>
      <c r="E98">
        <f t="shared" si="14"/>
        <v>138297.6784540654</v>
      </c>
      <c r="F98">
        <v>22665.17</v>
      </c>
      <c r="G98">
        <f t="shared" si="15"/>
        <v>25011.253864081038</v>
      </c>
      <c r="H98">
        <v>32</v>
      </c>
      <c r="I98">
        <f t="shared" si="24"/>
        <v>109659.55499999999</v>
      </c>
      <c r="J98">
        <f t="shared" si="16"/>
        <v>121010.47416485989</v>
      </c>
      <c r="K98">
        <f t="shared" si="17"/>
        <v>27678.176399999997</v>
      </c>
      <c r="L98">
        <f t="shared" si="18"/>
        <v>30543.159236626798</v>
      </c>
      <c r="M98" s="1">
        <f t="shared" si="19"/>
        <v>0.25240095493730574</v>
      </c>
      <c r="N98" s="1">
        <f t="shared" si="19"/>
        <v>0.25240095493730574</v>
      </c>
      <c r="O98" s="4">
        <f t="shared" si="20"/>
        <v>15.103790654325749</v>
      </c>
      <c r="P98" s="4">
        <f t="shared" si="21"/>
        <v>15.103790654325749</v>
      </c>
      <c r="Q98">
        <f t="shared" si="22"/>
        <v>6223.2</v>
      </c>
      <c r="R98">
        <f t="shared" si="23"/>
        <v>6867.3667590822897</v>
      </c>
      <c r="S98">
        <f>B98/T98</f>
        <v>453.1137196297725</v>
      </c>
      <c r="T98">
        <v>207.44</v>
      </c>
      <c r="U98">
        <v>132.37299999999999</v>
      </c>
    </row>
    <row r="99" spans="1:21" x14ac:dyDescent="0.25">
      <c r="A99">
        <v>2023</v>
      </c>
      <c r="B99">
        <v>125325.21</v>
      </c>
      <c r="C99">
        <v>375975.61</v>
      </c>
      <c r="D99">
        <f t="shared" si="13"/>
        <v>138297.68948917073</v>
      </c>
      <c r="E99">
        <f t="shared" si="14"/>
        <v>414893.04639730148</v>
      </c>
      <c r="F99">
        <v>32691.18</v>
      </c>
      <c r="G99">
        <f t="shared" si="15"/>
        <v>36075.061519343064</v>
      </c>
      <c r="H99">
        <v>34</v>
      </c>
      <c r="I99">
        <f t="shared" si="24"/>
        <v>250650.41</v>
      </c>
      <c r="J99">
        <f t="shared" si="16"/>
        <v>276595.36794323614</v>
      </c>
      <c r="K99">
        <f t="shared" si="17"/>
        <v>75301.747999999992</v>
      </c>
      <c r="L99">
        <f t="shared" si="18"/>
        <v>83096.272193725294</v>
      </c>
      <c r="M99" s="1">
        <f t="shared" si="19"/>
        <v>0.30042539327982742</v>
      </c>
      <c r="N99" s="1">
        <f t="shared" si="19"/>
        <v>0.30042539327982742</v>
      </c>
      <c r="O99" s="4">
        <f t="shared" si="20"/>
        <v>20.138387003470886</v>
      </c>
      <c r="P99" s="4">
        <f t="shared" si="21"/>
        <v>20.138387003470882</v>
      </c>
      <c r="Q99">
        <f t="shared" si="22"/>
        <v>6223.2</v>
      </c>
      <c r="R99">
        <f t="shared" si="23"/>
        <v>6867.3667590822897</v>
      </c>
      <c r="S99">
        <f>B99/T99</f>
        <v>604.15161010412658</v>
      </c>
      <c r="T99">
        <v>207.44</v>
      </c>
      <c r="U99">
        <v>132.37299999999999</v>
      </c>
    </row>
    <row r="100" spans="1:21" x14ac:dyDescent="0.25">
      <c r="A100" s="2">
        <v>2023</v>
      </c>
      <c r="B100" s="2">
        <v>375975.62</v>
      </c>
      <c r="C100" s="2"/>
      <c r="D100">
        <f t="shared" si="13"/>
        <v>414893.05743240687</v>
      </c>
      <c r="E100">
        <f t="shared" si="14"/>
        <v>0</v>
      </c>
      <c r="F100" s="2">
        <v>117912.32000000001</v>
      </c>
      <c r="G100">
        <f t="shared" si="15"/>
        <v>130117.48728214968</v>
      </c>
      <c r="H100" s="2">
        <v>35</v>
      </c>
      <c r="I100" s="2">
        <f>B100*1.5</f>
        <v>563963.42999999993</v>
      </c>
      <c r="J100">
        <f t="shared" si="16"/>
        <v>622339.58614861022</v>
      </c>
      <c r="K100" s="2">
        <f t="shared" si="17"/>
        <v>183708.05349999998</v>
      </c>
      <c r="L100">
        <f t="shared" si="18"/>
        <v>202723.77233282087</v>
      </c>
      <c r="M100" s="3">
        <f t="shared" si="19"/>
        <v>0.32574462053328529</v>
      </c>
      <c r="N100" s="1">
        <f t="shared" si="19"/>
        <v>0.32574462053328535</v>
      </c>
      <c r="O100" s="4">
        <f t="shared" si="20"/>
        <v>60.415159403522303</v>
      </c>
      <c r="P100" s="4">
        <f t="shared" si="21"/>
        <v>60.415159403522303</v>
      </c>
      <c r="Q100">
        <f t="shared" si="22"/>
        <v>6223.2</v>
      </c>
      <c r="R100">
        <f t="shared" si="23"/>
        <v>6867.3667590822897</v>
      </c>
      <c r="S100" s="2">
        <f>B100/T100</f>
        <v>1812.4547821056692</v>
      </c>
      <c r="T100" s="2">
        <v>207.44</v>
      </c>
      <c r="U100">
        <v>132.37299999999999</v>
      </c>
    </row>
    <row r="101" spans="1:21" x14ac:dyDescent="0.25">
      <c r="A101">
        <v>2024</v>
      </c>
      <c r="B101">
        <v>0.01</v>
      </c>
      <c r="C101">
        <v>746.04</v>
      </c>
      <c r="D101">
        <f t="shared" si="13"/>
        <v>1.0589058275159659E-2</v>
      </c>
      <c r="E101">
        <f t="shared" si="14"/>
        <v>789.9861035600112</v>
      </c>
      <c r="F101">
        <v>0</v>
      </c>
      <c r="G101">
        <f t="shared" si="15"/>
        <v>0</v>
      </c>
      <c r="H101">
        <v>1.92</v>
      </c>
      <c r="I101">
        <f t="shared" si="24"/>
        <v>373.02499999999998</v>
      </c>
      <c r="J101">
        <f t="shared" si="16"/>
        <v>394.99834630914319</v>
      </c>
      <c r="K101">
        <f t="shared" si="17"/>
        <v>7.1618879999999994</v>
      </c>
      <c r="L101">
        <f t="shared" si="18"/>
        <v>7.5837649392166657</v>
      </c>
      <c r="M101" s="1">
        <f t="shared" si="19"/>
        <v>1.9199485289189733E-2</v>
      </c>
      <c r="N101" s="1">
        <f t="shared" si="19"/>
        <v>1.919948528918973E-2</v>
      </c>
      <c r="O101" s="4">
        <f t="shared" si="20"/>
        <v>1.3390645295196776E-6</v>
      </c>
      <c r="P101" s="4">
        <f t="shared" si="21"/>
        <v>1.3390645295196774E-6</v>
      </c>
      <c r="Q101">
        <f t="shared" si="22"/>
        <v>7467.9000000000005</v>
      </c>
      <c r="R101">
        <f t="shared" si="23"/>
        <v>7907.8028293064826</v>
      </c>
      <c r="S101">
        <f>B101/T101</f>
        <v>4.0171935885590324E-5</v>
      </c>
      <c r="T101">
        <v>248.93</v>
      </c>
      <c r="U101">
        <v>137.94900000000001</v>
      </c>
    </row>
    <row r="102" spans="1:21" x14ac:dyDescent="0.25">
      <c r="A102">
        <v>2024</v>
      </c>
      <c r="B102">
        <v>746.05</v>
      </c>
      <c r="C102">
        <v>6332.05</v>
      </c>
      <c r="D102">
        <f t="shared" si="13"/>
        <v>789.99669261828637</v>
      </c>
      <c r="E102">
        <f t="shared" si="14"/>
        <v>6705.0446451224725</v>
      </c>
      <c r="F102">
        <v>14.32</v>
      </c>
      <c r="G102">
        <f t="shared" si="15"/>
        <v>15.163531450028632</v>
      </c>
      <c r="H102">
        <v>6.4</v>
      </c>
      <c r="I102">
        <f t="shared" si="24"/>
        <v>3539.05</v>
      </c>
      <c r="J102">
        <f t="shared" si="16"/>
        <v>3747.5206688703797</v>
      </c>
      <c r="K102">
        <f t="shared" si="17"/>
        <v>193.072</v>
      </c>
      <c r="L102">
        <f t="shared" si="18"/>
        <v>204.44506593016257</v>
      </c>
      <c r="M102" s="1">
        <f t="shared" si="19"/>
        <v>5.4554753394272473E-2</v>
      </c>
      <c r="N102" s="1">
        <f t="shared" si="19"/>
        <v>5.4554753394272466E-2</v>
      </c>
      <c r="O102" s="4">
        <f t="shared" si="20"/>
        <v>9.9900909224815537E-2</v>
      </c>
      <c r="P102" s="4">
        <f t="shared" si="21"/>
        <v>9.9900909224815537E-2</v>
      </c>
      <c r="Q102">
        <f t="shared" si="22"/>
        <v>7467.9000000000005</v>
      </c>
      <c r="R102">
        <f t="shared" si="23"/>
        <v>7907.8028293064826</v>
      </c>
      <c r="S102">
        <f>B102/T102</f>
        <v>2.9970272767444661</v>
      </c>
      <c r="T102">
        <v>248.93</v>
      </c>
      <c r="U102">
        <v>137.94900000000001</v>
      </c>
    </row>
    <row r="103" spans="1:21" x14ac:dyDescent="0.25">
      <c r="A103">
        <v>2024</v>
      </c>
      <c r="B103">
        <v>6332.06</v>
      </c>
      <c r="C103">
        <v>11128.01</v>
      </c>
      <c r="D103">
        <f t="shared" si="13"/>
        <v>6705.0552341807479</v>
      </c>
      <c r="E103">
        <f t="shared" si="14"/>
        <v>11783.514637655944</v>
      </c>
      <c r="F103">
        <v>371.83</v>
      </c>
      <c r="G103">
        <f t="shared" si="15"/>
        <v>393.73295384526159</v>
      </c>
      <c r="H103">
        <v>10.88</v>
      </c>
      <c r="I103">
        <f t="shared" si="24"/>
        <v>8730.0349999999999</v>
      </c>
      <c r="J103">
        <f t="shared" si="16"/>
        <v>9244.2849359183456</v>
      </c>
      <c r="K103">
        <f t="shared" si="17"/>
        <v>632.72967999999992</v>
      </c>
      <c r="L103">
        <f t="shared" si="18"/>
        <v>670.00114539431229</v>
      </c>
      <c r="M103" s="1">
        <f t="shared" si="19"/>
        <v>7.2477336001516596E-2</v>
      </c>
      <c r="N103" s="1">
        <f t="shared" si="19"/>
        <v>7.2477336001516596E-2</v>
      </c>
      <c r="O103" s="4">
        <f t="shared" si="20"/>
        <v>0.84790369447903691</v>
      </c>
      <c r="P103" s="4">
        <f t="shared" si="21"/>
        <v>0.84790369447903691</v>
      </c>
      <c r="Q103">
        <f t="shared" si="22"/>
        <v>7467.9000000000005</v>
      </c>
      <c r="R103">
        <f t="shared" si="23"/>
        <v>7907.8028293064826</v>
      </c>
      <c r="S103">
        <f>B103/T103</f>
        <v>25.437110834371108</v>
      </c>
      <c r="T103">
        <v>248.93</v>
      </c>
      <c r="U103">
        <v>137.94900000000001</v>
      </c>
    </row>
    <row r="104" spans="1:21" x14ac:dyDescent="0.25">
      <c r="A104">
        <v>2024</v>
      </c>
      <c r="B104">
        <v>11128.02</v>
      </c>
      <c r="C104">
        <v>12935.82</v>
      </c>
      <c r="D104">
        <f t="shared" si="13"/>
        <v>11783.52522671422</v>
      </c>
      <c r="E104">
        <f t="shared" si="14"/>
        <v>13697.815181697582</v>
      </c>
      <c r="F104">
        <v>893.63</v>
      </c>
      <c r="G104">
        <f t="shared" si="15"/>
        <v>946.27001464309262</v>
      </c>
      <c r="H104">
        <v>16</v>
      </c>
      <c r="I104">
        <f t="shared" si="24"/>
        <v>12031.92</v>
      </c>
      <c r="J104">
        <f t="shared" si="16"/>
        <v>12740.670204205901</v>
      </c>
      <c r="K104">
        <f t="shared" si="17"/>
        <v>1038.2539999999999</v>
      </c>
      <c r="L104">
        <f t="shared" si="18"/>
        <v>1099.4132110417615</v>
      </c>
      <c r="M104" s="1">
        <f t="shared" si="19"/>
        <v>8.6291630928397117E-2</v>
      </c>
      <c r="N104" s="1">
        <f t="shared" si="19"/>
        <v>8.6291630928397117E-2</v>
      </c>
      <c r="O104" s="4">
        <f t="shared" si="20"/>
        <v>1.4901136865785563</v>
      </c>
      <c r="P104" s="4">
        <f t="shared" si="21"/>
        <v>1.4901136865785563</v>
      </c>
      <c r="Q104">
        <f t="shared" si="22"/>
        <v>7467.9000000000005</v>
      </c>
      <c r="R104">
        <f t="shared" si="23"/>
        <v>7907.8028293064826</v>
      </c>
      <c r="S104">
        <f>B104/T104</f>
        <v>44.703410597356687</v>
      </c>
      <c r="T104">
        <v>248.93</v>
      </c>
      <c r="U104">
        <v>137.94900000000001</v>
      </c>
    </row>
    <row r="105" spans="1:21" x14ac:dyDescent="0.25">
      <c r="A105">
        <v>2024</v>
      </c>
      <c r="B105">
        <v>12935.83</v>
      </c>
      <c r="C105">
        <v>15487.71</v>
      </c>
      <c r="D105">
        <f t="shared" si="13"/>
        <v>13697.825770755859</v>
      </c>
      <c r="E105">
        <f t="shared" si="14"/>
        <v>16400.026373877299</v>
      </c>
      <c r="F105">
        <v>1182.8800000000001</v>
      </c>
      <c r="G105">
        <f t="shared" si="15"/>
        <v>1252.5585252520859</v>
      </c>
      <c r="H105">
        <v>17.920000000000002</v>
      </c>
      <c r="I105">
        <f t="shared" si="24"/>
        <v>14211.77</v>
      </c>
      <c r="J105">
        <f t="shared" si="16"/>
        <v>15048.926072316581</v>
      </c>
      <c r="K105">
        <f t="shared" si="17"/>
        <v>1411.5284480000003</v>
      </c>
      <c r="L105">
        <f t="shared" si="18"/>
        <v>1494.6756992917674</v>
      </c>
      <c r="M105" s="1">
        <f t="shared" si="19"/>
        <v>9.9321087239661224E-2</v>
      </c>
      <c r="N105" s="1">
        <f t="shared" si="19"/>
        <v>9.9321087239661224E-2</v>
      </c>
      <c r="O105" s="4">
        <f t="shared" si="20"/>
        <v>1.7321911112896529</v>
      </c>
      <c r="P105" s="4">
        <f t="shared" si="21"/>
        <v>1.7321911112896531</v>
      </c>
      <c r="Q105">
        <f t="shared" si="22"/>
        <v>7467.9000000000005</v>
      </c>
      <c r="R105">
        <f t="shared" si="23"/>
        <v>7907.8028293064826</v>
      </c>
      <c r="S105">
        <f>B105/T105</f>
        <v>51.965733338689589</v>
      </c>
      <c r="T105">
        <v>248.93</v>
      </c>
      <c r="U105">
        <v>137.94900000000001</v>
      </c>
    </row>
    <row r="106" spans="1:21" x14ac:dyDescent="0.25">
      <c r="A106">
        <v>2024</v>
      </c>
      <c r="B106">
        <v>15487.72</v>
      </c>
      <c r="C106">
        <v>31236.49</v>
      </c>
      <c r="D106">
        <f t="shared" si="13"/>
        <v>16400.036962935577</v>
      </c>
      <c r="E106">
        <f t="shared" si="14"/>
        <v>33076.501292144196</v>
      </c>
      <c r="F106">
        <v>1640.18</v>
      </c>
      <c r="G106">
        <f t="shared" si="15"/>
        <v>1736.7961601751372</v>
      </c>
      <c r="H106">
        <v>21.36</v>
      </c>
      <c r="I106">
        <f t="shared" si="24"/>
        <v>23362.105</v>
      </c>
      <c r="J106">
        <f t="shared" si="16"/>
        <v>24738.269127539887</v>
      </c>
      <c r="K106">
        <f t="shared" si="17"/>
        <v>3322.1486359999999</v>
      </c>
      <c r="L106">
        <f t="shared" si="18"/>
        <v>3517.8425505346177</v>
      </c>
      <c r="M106" s="1">
        <f t="shared" si="19"/>
        <v>0.14220245290396563</v>
      </c>
      <c r="N106" s="1">
        <f t="shared" si="19"/>
        <v>0.14220245290396563</v>
      </c>
      <c r="O106" s="4">
        <f t="shared" si="20"/>
        <v>2.0739056495132497</v>
      </c>
      <c r="P106" s="4">
        <f t="shared" si="21"/>
        <v>2.0739056495132502</v>
      </c>
      <c r="Q106">
        <f t="shared" si="22"/>
        <v>7467.9000000000005</v>
      </c>
      <c r="R106">
        <f t="shared" si="23"/>
        <v>7907.8028293064826</v>
      </c>
      <c r="S106">
        <f>B106/T106</f>
        <v>62.217169485397498</v>
      </c>
      <c r="T106">
        <v>248.93</v>
      </c>
      <c r="U106">
        <v>137.94900000000001</v>
      </c>
    </row>
    <row r="107" spans="1:21" x14ac:dyDescent="0.25">
      <c r="A107">
        <v>2024</v>
      </c>
      <c r="B107">
        <v>31236.5</v>
      </c>
      <c r="C107">
        <v>49233</v>
      </c>
      <c r="D107">
        <f t="shared" si="13"/>
        <v>33076.511881202474</v>
      </c>
      <c r="E107">
        <f t="shared" si="14"/>
        <v>52133.110606093549</v>
      </c>
      <c r="F107">
        <v>5004.12</v>
      </c>
      <c r="G107">
        <f t="shared" si="15"/>
        <v>5298.8918295891954</v>
      </c>
      <c r="H107">
        <v>23.52</v>
      </c>
      <c r="I107">
        <f t="shared" si="24"/>
        <v>40234.75</v>
      </c>
      <c r="J107">
        <f t="shared" si="16"/>
        <v>42604.811243648008</v>
      </c>
      <c r="K107">
        <f t="shared" si="17"/>
        <v>7120.5083999999997</v>
      </c>
      <c r="L107">
        <f t="shared" si="18"/>
        <v>7539.9478396363866</v>
      </c>
      <c r="M107" s="1">
        <f t="shared" si="19"/>
        <v>0.17697409329000427</v>
      </c>
      <c r="N107" s="1">
        <f t="shared" si="19"/>
        <v>0.1769740932900043</v>
      </c>
      <c r="O107" s="4">
        <f t="shared" si="20"/>
        <v>4.1827689176341405</v>
      </c>
      <c r="P107" s="4">
        <f t="shared" si="21"/>
        <v>4.1827689176341414</v>
      </c>
      <c r="Q107">
        <f t="shared" si="22"/>
        <v>7467.9000000000005</v>
      </c>
      <c r="R107">
        <f t="shared" si="23"/>
        <v>7907.8028293064826</v>
      </c>
      <c r="S107">
        <f>B107/T107</f>
        <v>125.48306752902423</v>
      </c>
      <c r="T107">
        <v>248.93</v>
      </c>
      <c r="U107">
        <v>137.94900000000001</v>
      </c>
    </row>
    <row r="108" spans="1:21" x14ac:dyDescent="0.25">
      <c r="A108">
        <v>2024</v>
      </c>
      <c r="B108">
        <v>49233.01</v>
      </c>
      <c r="C108">
        <v>93993.9</v>
      </c>
      <c r="D108">
        <f t="shared" si="13"/>
        <v>52133.121195151827</v>
      </c>
      <c r="E108">
        <f t="shared" si="14"/>
        <v>99530.688460952952</v>
      </c>
      <c r="F108">
        <v>9236.89</v>
      </c>
      <c r="G108">
        <f t="shared" si="15"/>
        <v>9780.9966491239502</v>
      </c>
      <c r="H108">
        <v>30</v>
      </c>
      <c r="I108">
        <f t="shared" si="24"/>
        <v>71613.455000000002</v>
      </c>
      <c r="J108">
        <f t="shared" si="16"/>
        <v>75831.904828052386</v>
      </c>
      <c r="K108">
        <f t="shared" si="17"/>
        <v>15951.023499999999</v>
      </c>
      <c r="L108">
        <f t="shared" si="18"/>
        <v>16890.631738994118</v>
      </c>
      <c r="M108" s="1">
        <f t="shared" si="19"/>
        <v>0.22273780115761765</v>
      </c>
      <c r="N108" s="1">
        <f t="shared" si="19"/>
        <v>0.22273780115761765</v>
      </c>
      <c r="O108" s="4">
        <f t="shared" si="20"/>
        <v>6.5926177372487578</v>
      </c>
      <c r="P108" s="4">
        <f t="shared" si="21"/>
        <v>6.5926177372487578</v>
      </c>
      <c r="Q108">
        <f t="shared" si="22"/>
        <v>7467.9000000000005</v>
      </c>
      <c r="R108">
        <f t="shared" si="23"/>
        <v>7907.8028293064826</v>
      </c>
      <c r="S108">
        <f>B108/T108</f>
        <v>197.77853211746273</v>
      </c>
      <c r="T108">
        <v>248.93</v>
      </c>
      <c r="U108">
        <v>137.94900000000001</v>
      </c>
    </row>
    <row r="109" spans="1:21" x14ac:dyDescent="0.25">
      <c r="A109">
        <v>2024</v>
      </c>
      <c r="B109">
        <v>93993.91</v>
      </c>
      <c r="C109">
        <v>125325.2</v>
      </c>
      <c r="D109">
        <f t="shared" si="13"/>
        <v>99530.69905001123</v>
      </c>
      <c r="E109">
        <f t="shared" si="14"/>
        <v>132707.58461460393</v>
      </c>
      <c r="F109">
        <v>22665.17</v>
      </c>
      <c r="G109">
        <f t="shared" si="15"/>
        <v>24000.280594640044</v>
      </c>
      <c r="H109">
        <v>32</v>
      </c>
      <c r="I109">
        <f t="shared" si="24"/>
        <v>109659.55499999999</v>
      </c>
      <c r="J109">
        <f t="shared" si="16"/>
        <v>116119.14183230758</v>
      </c>
      <c r="K109">
        <f t="shared" si="17"/>
        <v>27678.176399999997</v>
      </c>
      <c r="L109">
        <f t="shared" si="18"/>
        <v>29308.582284974877</v>
      </c>
      <c r="M109" s="1">
        <f t="shared" si="19"/>
        <v>0.25240095493730574</v>
      </c>
      <c r="N109" s="1">
        <f t="shared" si="19"/>
        <v>0.25240095493730574</v>
      </c>
      <c r="O109" s="4">
        <f t="shared" si="20"/>
        <v>12.586391087186492</v>
      </c>
      <c r="P109" s="4">
        <f t="shared" si="21"/>
        <v>12.586391087186492</v>
      </c>
      <c r="Q109">
        <f t="shared" si="22"/>
        <v>7467.9000000000005</v>
      </c>
      <c r="R109">
        <f t="shared" si="23"/>
        <v>7907.8028293064826</v>
      </c>
      <c r="S109">
        <f>B109/T109</f>
        <v>377.59173261559476</v>
      </c>
      <c r="T109">
        <v>248.93</v>
      </c>
      <c r="U109">
        <v>137.94900000000001</v>
      </c>
    </row>
    <row r="110" spans="1:21" x14ac:dyDescent="0.25">
      <c r="A110">
        <v>2024</v>
      </c>
      <c r="B110">
        <v>125325.21</v>
      </c>
      <c r="C110">
        <v>375975.61</v>
      </c>
      <c r="D110">
        <f t="shared" si="13"/>
        <v>132707.59520366223</v>
      </c>
      <c r="E110">
        <f t="shared" si="14"/>
        <v>398122.76443287008</v>
      </c>
      <c r="F110">
        <v>32691.18</v>
      </c>
      <c r="G110">
        <f t="shared" si="15"/>
        <v>34616.881010373399</v>
      </c>
      <c r="H110">
        <v>34</v>
      </c>
      <c r="I110">
        <f t="shared" si="24"/>
        <v>250650.41</v>
      </c>
      <c r="J110">
        <f t="shared" si="16"/>
        <v>265415.17981826613</v>
      </c>
      <c r="K110">
        <f t="shared" si="17"/>
        <v>75301.747999999992</v>
      </c>
      <c r="L110">
        <f t="shared" si="18"/>
        <v>79737.459779338722</v>
      </c>
      <c r="M110" s="1">
        <f t="shared" si="19"/>
        <v>0.30042539327982742</v>
      </c>
      <c r="N110" s="1">
        <f t="shared" si="19"/>
        <v>0.30042539327982742</v>
      </c>
      <c r="O110" s="4">
        <f t="shared" si="20"/>
        <v>16.781854336560478</v>
      </c>
      <c r="P110" s="4">
        <f t="shared" si="21"/>
        <v>16.781854336560482</v>
      </c>
      <c r="Q110">
        <f t="shared" si="22"/>
        <v>7467.9000000000005</v>
      </c>
      <c r="R110">
        <f t="shared" si="23"/>
        <v>7907.8028293064826</v>
      </c>
      <c r="S110">
        <f>B110/T110</f>
        <v>503.45563009681439</v>
      </c>
      <c r="T110">
        <v>248.93</v>
      </c>
      <c r="U110">
        <v>137.94900000000001</v>
      </c>
    </row>
    <row r="111" spans="1:21" x14ac:dyDescent="0.25">
      <c r="A111" s="2">
        <v>2024</v>
      </c>
      <c r="B111" s="2">
        <v>375975.62</v>
      </c>
      <c r="C111" s="2"/>
      <c r="D111">
        <f t="shared" si="13"/>
        <v>398122.77502192836</v>
      </c>
      <c r="E111">
        <f t="shared" si="14"/>
        <v>0</v>
      </c>
      <c r="F111" s="2">
        <v>117912.32000000001</v>
      </c>
      <c r="G111">
        <f t="shared" si="15"/>
        <v>124858.04278392739</v>
      </c>
      <c r="H111" s="2">
        <v>35</v>
      </c>
      <c r="I111" s="2">
        <f>B111*1.5</f>
        <v>563963.42999999993</v>
      </c>
      <c r="J111">
        <f t="shared" si="16"/>
        <v>597184.16253289243</v>
      </c>
      <c r="K111" s="2">
        <f t="shared" si="17"/>
        <v>183708.05349999998</v>
      </c>
      <c r="L111">
        <f t="shared" si="18"/>
        <v>194529.52841276483</v>
      </c>
      <c r="M111" s="3">
        <f t="shared" si="19"/>
        <v>0.32574462053328529</v>
      </c>
      <c r="N111" s="1">
        <f t="shared" si="19"/>
        <v>0.32574462053328535</v>
      </c>
      <c r="O111" s="4">
        <f t="shared" si="20"/>
        <v>50.345561670616902</v>
      </c>
      <c r="P111" s="4">
        <f t="shared" si="21"/>
        <v>50.345561670616902</v>
      </c>
      <c r="Q111">
        <f t="shared" si="22"/>
        <v>7467.9000000000005</v>
      </c>
      <c r="R111">
        <f t="shared" si="23"/>
        <v>7907.8028293064826</v>
      </c>
      <c r="S111" s="2">
        <f>B111/T111</f>
        <v>1510.366850118507</v>
      </c>
      <c r="T111" s="2">
        <v>248.93</v>
      </c>
      <c r="U111">
        <v>137.94900000000001</v>
      </c>
    </row>
    <row r="112" spans="1:21" x14ac:dyDescent="0.25">
      <c r="A112">
        <v>2025</v>
      </c>
      <c r="B112">
        <v>0.01</v>
      </c>
      <c r="C112">
        <v>746.04</v>
      </c>
      <c r="D112">
        <f t="shared" si="13"/>
        <v>1.0212035625900085E-2</v>
      </c>
      <c r="E112">
        <f t="shared" si="14"/>
        <v>761.85870583464987</v>
      </c>
      <c r="F112">
        <v>0</v>
      </c>
      <c r="G112">
        <f t="shared" si="15"/>
        <v>0</v>
      </c>
      <c r="H112">
        <v>1.92</v>
      </c>
      <c r="I112">
        <f t="shared" si="24"/>
        <v>373.02499999999998</v>
      </c>
      <c r="J112">
        <f t="shared" si="16"/>
        <v>380.93445893513785</v>
      </c>
      <c r="K112">
        <f t="shared" si="17"/>
        <v>7.1618879999999994</v>
      </c>
      <c r="L112">
        <f t="shared" si="18"/>
        <v>7.31374554047063</v>
      </c>
      <c r="M112" s="1">
        <f t="shared" si="19"/>
        <v>1.9199485289189733E-2</v>
      </c>
      <c r="N112" s="1">
        <f t="shared" si="19"/>
        <v>1.9199485289189733E-2</v>
      </c>
      <c r="O112" s="4">
        <f t="shared" si="20"/>
        <v>1.1956001912960306E-6</v>
      </c>
      <c r="P112" s="4">
        <f t="shared" si="21"/>
        <v>1.1956001912960306E-6</v>
      </c>
      <c r="Q112">
        <f t="shared" si="22"/>
        <v>8364</v>
      </c>
      <c r="R112">
        <f t="shared" si="23"/>
        <v>8541.3465975028303</v>
      </c>
      <c r="S112">
        <f>B112/T112</f>
        <v>3.5868005738880917E-5</v>
      </c>
      <c r="T112">
        <v>278.8</v>
      </c>
      <c r="U112">
        <v>143.042</v>
      </c>
    </row>
    <row r="113" spans="1:21" x14ac:dyDescent="0.25">
      <c r="A113">
        <v>2025</v>
      </c>
      <c r="B113">
        <v>746.05</v>
      </c>
      <c r="C113">
        <v>6332.05</v>
      </c>
      <c r="D113">
        <f t="shared" si="13"/>
        <v>761.86891787027571</v>
      </c>
      <c r="E113">
        <f t="shared" si="14"/>
        <v>6466.3120184980635</v>
      </c>
      <c r="F113">
        <v>14.32</v>
      </c>
      <c r="G113">
        <f t="shared" si="15"/>
        <v>14.623635016288921</v>
      </c>
      <c r="H113">
        <v>6.4</v>
      </c>
      <c r="I113">
        <f t="shared" si="24"/>
        <v>3539.05</v>
      </c>
      <c r="J113">
        <f t="shared" si="16"/>
        <v>3614.0904681841694</v>
      </c>
      <c r="K113">
        <f t="shared" si="17"/>
        <v>193.072</v>
      </c>
      <c r="L113">
        <f t="shared" si="18"/>
        <v>197.16581423637811</v>
      </c>
      <c r="M113" s="1">
        <f t="shared" si="19"/>
        <v>5.4554753394272473E-2</v>
      </c>
      <c r="N113" s="1">
        <f t="shared" si="19"/>
        <v>5.4554753394272473E-2</v>
      </c>
      <c r="O113" s="4">
        <f t="shared" si="20"/>
        <v>8.9197752271640354E-2</v>
      </c>
      <c r="P113" s="4">
        <f t="shared" si="21"/>
        <v>8.9197752271640354E-2</v>
      </c>
      <c r="Q113">
        <f t="shared" si="22"/>
        <v>8364</v>
      </c>
      <c r="R113">
        <f t="shared" si="23"/>
        <v>8541.3465975028303</v>
      </c>
      <c r="S113">
        <f>B113/T113</f>
        <v>2.6759325681492108</v>
      </c>
      <c r="T113">
        <v>278.8</v>
      </c>
      <c r="U113">
        <v>143.042</v>
      </c>
    </row>
    <row r="114" spans="1:21" x14ac:dyDescent="0.25">
      <c r="A114">
        <v>2025</v>
      </c>
      <c r="B114">
        <v>6332.06</v>
      </c>
      <c r="C114">
        <v>11128.01</v>
      </c>
      <c r="D114">
        <f t="shared" si="13"/>
        <v>6466.3222305336894</v>
      </c>
      <c r="E114">
        <f t="shared" si="14"/>
        <v>11363.96345653724</v>
      </c>
      <c r="F114">
        <v>371.83</v>
      </c>
      <c r="G114">
        <f t="shared" si="15"/>
        <v>379.7141206778428</v>
      </c>
      <c r="H114">
        <v>10.88</v>
      </c>
      <c r="I114">
        <f t="shared" si="24"/>
        <v>8730.0349999999999</v>
      </c>
      <c r="J114">
        <f t="shared" si="16"/>
        <v>8915.1428435354646</v>
      </c>
      <c r="K114">
        <f t="shared" si="17"/>
        <v>632.72967999999992</v>
      </c>
      <c r="L114">
        <f t="shared" si="18"/>
        <v>646.14580337243592</v>
      </c>
      <c r="M114" s="1">
        <f t="shared" si="19"/>
        <v>7.2477336001516596E-2</v>
      </c>
      <c r="N114" s="1">
        <f t="shared" si="19"/>
        <v>7.2477336001516596E-2</v>
      </c>
      <c r="O114" s="4">
        <f t="shared" si="20"/>
        <v>0.75706121472979437</v>
      </c>
      <c r="P114" s="4">
        <f t="shared" si="21"/>
        <v>0.75706121472979448</v>
      </c>
      <c r="Q114">
        <f t="shared" si="22"/>
        <v>8364</v>
      </c>
      <c r="R114">
        <f t="shared" si="23"/>
        <v>8541.3465975028303</v>
      </c>
      <c r="S114">
        <f>B114/T114</f>
        <v>22.71183644189383</v>
      </c>
      <c r="T114">
        <v>278.8</v>
      </c>
      <c r="U114">
        <v>143.042</v>
      </c>
    </row>
    <row r="115" spans="1:21" x14ac:dyDescent="0.25">
      <c r="A115">
        <v>2025</v>
      </c>
      <c r="B115">
        <v>11128.02</v>
      </c>
      <c r="C115">
        <v>12935.82</v>
      </c>
      <c r="D115">
        <f t="shared" si="13"/>
        <v>11363.973668572866</v>
      </c>
      <c r="E115">
        <f t="shared" si="14"/>
        <v>13210.105469023083</v>
      </c>
      <c r="F115">
        <v>893.63</v>
      </c>
      <c r="G115">
        <f t="shared" si="15"/>
        <v>912.57813963730928</v>
      </c>
      <c r="H115">
        <v>16</v>
      </c>
      <c r="I115">
        <f t="shared" si="24"/>
        <v>12031.92</v>
      </c>
      <c r="J115">
        <f t="shared" si="16"/>
        <v>12287.039568797974</v>
      </c>
      <c r="K115">
        <f t="shared" si="17"/>
        <v>1038.2539999999999</v>
      </c>
      <c r="L115">
        <f t="shared" si="18"/>
        <v>1060.2686836733264</v>
      </c>
      <c r="M115" s="1">
        <f t="shared" si="19"/>
        <v>8.6291630928397117E-2</v>
      </c>
      <c r="N115" s="1">
        <f t="shared" si="19"/>
        <v>8.6291630928397117E-2</v>
      </c>
      <c r="O115" s="4">
        <f t="shared" si="20"/>
        <v>1.3304662840746055</v>
      </c>
      <c r="P115" s="4">
        <f t="shared" si="21"/>
        <v>1.3304662840746055</v>
      </c>
      <c r="Q115">
        <f t="shared" si="22"/>
        <v>8364</v>
      </c>
      <c r="R115">
        <f t="shared" si="23"/>
        <v>8541.3465975028303</v>
      </c>
      <c r="S115">
        <f>B115/T115</f>
        <v>39.913988522238164</v>
      </c>
      <c r="T115">
        <v>278.8</v>
      </c>
      <c r="U115">
        <v>143.042</v>
      </c>
    </row>
    <row r="116" spans="1:21" x14ac:dyDescent="0.25">
      <c r="A116">
        <v>2025</v>
      </c>
      <c r="B116">
        <v>12935.83</v>
      </c>
      <c r="C116">
        <v>15487.71</v>
      </c>
      <c r="D116">
        <f t="shared" si="13"/>
        <v>13210.115681058709</v>
      </c>
      <c r="E116">
        <f t="shared" si="14"/>
        <v>15816.104628360899</v>
      </c>
      <c r="F116">
        <v>1182.8800000000001</v>
      </c>
      <c r="G116">
        <f t="shared" si="15"/>
        <v>1207.9612701164692</v>
      </c>
      <c r="H116">
        <v>17.920000000000002</v>
      </c>
      <c r="I116">
        <f t="shared" si="24"/>
        <v>14211.77</v>
      </c>
      <c r="J116">
        <f t="shared" si="16"/>
        <v>14513.110154709804</v>
      </c>
      <c r="K116">
        <f t="shared" si="17"/>
        <v>1411.5284480000003</v>
      </c>
      <c r="L116">
        <f t="shared" si="18"/>
        <v>1441.4578797947456</v>
      </c>
      <c r="M116" s="1">
        <f t="shared" si="19"/>
        <v>9.9321087239661224E-2</v>
      </c>
      <c r="N116" s="1">
        <f t="shared" si="19"/>
        <v>9.9321087239661224E-2</v>
      </c>
      <c r="O116" s="4">
        <f t="shared" si="20"/>
        <v>1.5466080822572932</v>
      </c>
      <c r="P116" s="4">
        <f t="shared" si="21"/>
        <v>1.5466080822572932</v>
      </c>
      <c r="Q116">
        <f t="shared" si="22"/>
        <v>8364</v>
      </c>
      <c r="R116">
        <f t="shared" si="23"/>
        <v>8541.3465975028303</v>
      </c>
      <c r="S116">
        <f>B116/T116</f>
        <v>46.398242467718795</v>
      </c>
      <c r="T116">
        <v>278.8</v>
      </c>
      <c r="U116">
        <v>143.042</v>
      </c>
    </row>
    <row r="117" spans="1:21" x14ac:dyDescent="0.25">
      <c r="A117">
        <v>2025</v>
      </c>
      <c r="B117">
        <v>15487.72</v>
      </c>
      <c r="C117">
        <v>31236.49</v>
      </c>
      <c r="D117">
        <f t="shared" si="13"/>
        <v>15816.114840396525</v>
      </c>
      <c r="E117">
        <f t="shared" si="14"/>
        <v>31898.814870807175</v>
      </c>
      <c r="F117">
        <v>1640.18</v>
      </c>
      <c r="G117">
        <f t="shared" si="15"/>
        <v>1674.95765928888</v>
      </c>
      <c r="H117">
        <v>21.36</v>
      </c>
      <c r="I117">
        <f t="shared" si="24"/>
        <v>23362.105</v>
      </c>
      <c r="J117">
        <f t="shared" si="16"/>
        <v>23857.464855601847</v>
      </c>
      <c r="K117">
        <f t="shared" si="17"/>
        <v>3322.1486359999999</v>
      </c>
      <c r="L117">
        <f t="shared" si="18"/>
        <v>3392.5900225367373</v>
      </c>
      <c r="M117" s="1">
        <f t="shared" si="19"/>
        <v>0.14220245290396563</v>
      </c>
      <c r="N117" s="1">
        <f t="shared" si="19"/>
        <v>0.14220245290396566</v>
      </c>
      <c r="O117" s="4">
        <f t="shared" si="20"/>
        <v>1.8517120994739358</v>
      </c>
      <c r="P117" s="4">
        <f t="shared" si="21"/>
        <v>1.851712099473936</v>
      </c>
      <c r="Q117">
        <f t="shared" si="22"/>
        <v>8364</v>
      </c>
      <c r="R117">
        <f t="shared" si="23"/>
        <v>8541.3465975028303</v>
      </c>
      <c r="S117">
        <f>B117/T117</f>
        <v>55.551362984218073</v>
      </c>
      <c r="T117">
        <v>278.8</v>
      </c>
      <c r="U117">
        <v>143.042</v>
      </c>
    </row>
    <row r="118" spans="1:21" x14ac:dyDescent="0.25">
      <c r="A118">
        <v>2025</v>
      </c>
      <c r="B118">
        <v>31236.5</v>
      </c>
      <c r="C118">
        <v>49233</v>
      </c>
      <c r="D118">
        <f t="shared" si="13"/>
        <v>31898.825082842799</v>
      </c>
      <c r="E118">
        <f t="shared" si="14"/>
        <v>50276.914996993888</v>
      </c>
      <c r="F118">
        <v>5004.12</v>
      </c>
      <c r="G118">
        <f t="shared" si="15"/>
        <v>5110.2251716279134</v>
      </c>
      <c r="H118">
        <v>23.52</v>
      </c>
      <c r="I118">
        <f t="shared" si="24"/>
        <v>40234.75</v>
      </c>
      <c r="J118">
        <f t="shared" si="16"/>
        <v>41087.870039918344</v>
      </c>
      <c r="K118">
        <f t="shared" si="17"/>
        <v>7120.5083999999997</v>
      </c>
      <c r="L118">
        <f t="shared" si="18"/>
        <v>7271.4885455320809</v>
      </c>
      <c r="M118" s="1">
        <f t="shared" si="19"/>
        <v>0.17697409329000427</v>
      </c>
      <c r="N118" s="1">
        <f t="shared" si="19"/>
        <v>0.17697409329000427</v>
      </c>
      <c r="O118" s="4">
        <f t="shared" si="20"/>
        <v>3.7346365375418462</v>
      </c>
      <c r="P118" s="4">
        <f t="shared" si="21"/>
        <v>3.7346365375418462</v>
      </c>
      <c r="Q118">
        <f t="shared" si="22"/>
        <v>8364</v>
      </c>
      <c r="R118">
        <f t="shared" si="23"/>
        <v>8541.3465975028303</v>
      </c>
      <c r="S118">
        <f>B118/T118</f>
        <v>112.03909612625537</v>
      </c>
      <c r="T118">
        <v>278.8</v>
      </c>
      <c r="U118">
        <v>143.042</v>
      </c>
    </row>
    <row r="119" spans="1:21" x14ac:dyDescent="0.25">
      <c r="A119">
        <v>2025</v>
      </c>
      <c r="B119">
        <v>49233.01</v>
      </c>
      <c r="C119">
        <v>93993.9</v>
      </c>
      <c r="D119">
        <f t="shared" si="13"/>
        <v>50276.925209029512</v>
      </c>
      <c r="E119">
        <f t="shared" si="14"/>
        <v>95986.905541728993</v>
      </c>
      <c r="F119">
        <v>9236.89</v>
      </c>
      <c r="G119">
        <f t="shared" si="15"/>
        <v>9432.7449752520224</v>
      </c>
      <c r="H119">
        <v>30</v>
      </c>
      <c r="I119">
        <f t="shared" si="24"/>
        <v>71613.455000000002</v>
      </c>
      <c r="J119">
        <f t="shared" si="16"/>
        <v>73131.915375379249</v>
      </c>
      <c r="K119">
        <f t="shared" si="17"/>
        <v>15951.023499999999</v>
      </c>
      <c r="L119">
        <f t="shared" si="18"/>
        <v>16289.242025156946</v>
      </c>
      <c r="M119" s="1">
        <f t="shared" si="19"/>
        <v>0.22273780115761765</v>
      </c>
      <c r="N119" s="1">
        <f t="shared" si="19"/>
        <v>0.22273780115761768</v>
      </c>
      <c r="O119" s="4">
        <f t="shared" si="20"/>
        <v>5.8862996174079392</v>
      </c>
      <c r="P119" s="4">
        <f t="shared" si="21"/>
        <v>5.8862996174079392</v>
      </c>
      <c r="Q119">
        <f t="shared" si="22"/>
        <v>8364</v>
      </c>
      <c r="R119">
        <f t="shared" si="23"/>
        <v>8541.3465975028303</v>
      </c>
      <c r="S119">
        <f>B119/T119</f>
        <v>176.58898852223817</v>
      </c>
      <c r="T119">
        <v>278.8</v>
      </c>
      <c r="U119">
        <v>143.042</v>
      </c>
    </row>
    <row r="120" spans="1:21" x14ac:dyDescent="0.25">
      <c r="A120">
        <v>2025</v>
      </c>
      <c r="B120">
        <v>93993.91</v>
      </c>
      <c r="C120">
        <v>125325.2</v>
      </c>
      <c r="D120">
        <f t="shared" si="13"/>
        <v>95986.915753764624</v>
      </c>
      <c r="E120">
        <f t="shared" si="14"/>
        <v>127982.54072230532</v>
      </c>
      <c r="F120">
        <v>22665.17</v>
      </c>
      <c r="G120">
        <f t="shared" si="15"/>
        <v>23145.752350708179</v>
      </c>
      <c r="H120">
        <v>32</v>
      </c>
      <c r="I120">
        <f t="shared" si="24"/>
        <v>109659.55499999999</v>
      </c>
      <c r="J120">
        <f t="shared" si="16"/>
        <v>111984.72823803496</v>
      </c>
      <c r="K120">
        <f t="shared" si="17"/>
        <v>27678.176399999997</v>
      </c>
      <c r="L120">
        <f t="shared" si="18"/>
        <v>28265.052345674692</v>
      </c>
      <c r="M120" s="1">
        <f t="shared" si="19"/>
        <v>0.25240095493730574</v>
      </c>
      <c r="N120" s="1">
        <f t="shared" si="19"/>
        <v>0.25240095493730574</v>
      </c>
      <c r="O120" s="4">
        <f t="shared" si="20"/>
        <v>11.237913677666189</v>
      </c>
      <c r="P120" s="4">
        <f t="shared" si="21"/>
        <v>11.237913677666189</v>
      </c>
      <c r="Q120">
        <f t="shared" si="22"/>
        <v>8364</v>
      </c>
      <c r="R120">
        <f t="shared" si="23"/>
        <v>8541.3465975028303</v>
      </c>
      <c r="S120">
        <f>B120/T120</f>
        <v>337.13741032998564</v>
      </c>
      <c r="T120">
        <v>278.8</v>
      </c>
      <c r="U120">
        <v>143.042</v>
      </c>
    </row>
    <row r="121" spans="1:21" x14ac:dyDescent="0.25">
      <c r="A121">
        <v>2025</v>
      </c>
      <c r="B121">
        <v>125325.21</v>
      </c>
      <c r="C121">
        <v>375975.61</v>
      </c>
      <c r="D121">
        <f t="shared" si="13"/>
        <v>127982.55093434096</v>
      </c>
      <c r="E121">
        <f t="shared" si="14"/>
        <v>383947.63237895159</v>
      </c>
      <c r="F121">
        <v>32691.18</v>
      </c>
      <c r="G121">
        <f t="shared" si="15"/>
        <v>33384.349481271231</v>
      </c>
      <c r="H121">
        <v>34</v>
      </c>
      <c r="I121">
        <f t="shared" si="24"/>
        <v>250650.41</v>
      </c>
      <c r="J121">
        <f t="shared" si="16"/>
        <v>255965.09165664628</v>
      </c>
      <c r="K121">
        <f t="shared" si="17"/>
        <v>75301.747999999992</v>
      </c>
      <c r="L121">
        <f t="shared" si="18"/>
        <v>76898.413326855036</v>
      </c>
      <c r="M121" s="1">
        <f t="shared" si="19"/>
        <v>0.30042539327982742</v>
      </c>
      <c r="N121" s="1">
        <f t="shared" si="19"/>
        <v>0.30042539327982742</v>
      </c>
      <c r="O121" s="4">
        <f t="shared" si="20"/>
        <v>14.983884505021521</v>
      </c>
      <c r="P121" s="4">
        <f t="shared" si="21"/>
        <v>14.983884505021523</v>
      </c>
      <c r="Q121">
        <f t="shared" si="22"/>
        <v>8364</v>
      </c>
      <c r="R121">
        <f t="shared" si="23"/>
        <v>8541.3465975028303</v>
      </c>
      <c r="S121">
        <f>B121/T121</f>
        <v>449.51653515064561</v>
      </c>
      <c r="T121">
        <v>278.8</v>
      </c>
      <c r="U121">
        <v>143.042</v>
      </c>
    </row>
    <row r="122" spans="1:21" x14ac:dyDescent="0.25">
      <c r="A122" s="2">
        <v>2025</v>
      </c>
      <c r="B122" s="2">
        <v>375975.62</v>
      </c>
      <c r="C122" s="2"/>
      <c r="D122">
        <f t="shared" si="13"/>
        <v>383947.64259098721</v>
      </c>
      <c r="E122">
        <f t="shared" si="14"/>
        <v>0</v>
      </c>
      <c r="F122" s="2">
        <v>117912.32000000001</v>
      </c>
      <c r="G122">
        <f t="shared" si="15"/>
        <v>120412.48125725311</v>
      </c>
      <c r="H122" s="2">
        <v>35</v>
      </c>
      <c r="I122" s="2">
        <f>B122*1.5</f>
        <v>563963.42999999993</v>
      </c>
      <c r="J122">
        <f t="shared" si="16"/>
        <v>575921.46388648078</v>
      </c>
      <c r="K122" s="2">
        <f t="shared" si="17"/>
        <v>183708.05349999998</v>
      </c>
      <c r="L122">
        <f t="shared" si="18"/>
        <v>187603.31871067584</v>
      </c>
      <c r="M122" s="3">
        <f t="shared" si="19"/>
        <v>0.32574462053328529</v>
      </c>
      <c r="N122" s="1">
        <f t="shared" si="19"/>
        <v>0.32574462053328529</v>
      </c>
      <c r="O122" s="4">
        <f t="shared" si="20"/>
        <v>44.951652319464372</v>
      </c>
      <c r="P122" s="4">
        <f t="shared" si="21"/>
        <v>44.951652319464372</v>
      </c>
      <c r="Q122">
        <f t="shared" si="22"/>
        <v>8364</v>
      </c>
      <c r="R122">
        <f t="shared" si="23"/>
        <v>8541.3465975028303</v>
      </c>
      <c r="S122" s="2">
        <f>B122/T122</f>
        <v>1348.5495695839311</v>
      </c>
      <c r="T122" s="2">
        <v>278.8</v>
      </c>
      <c r="U122">
        <v>143.042</v>
      </c>
    </row>
    <row r="123" spans="1:21" x14ac:dyDescent="0.25">
      <c r="A123">
        <v>2026</v>
      </c>
      <c r="B123">
        <v>0.01</v>
      </c>
      <c r="C123">
        <v>844.59</v>
      </c>
      <c r="D123">
        <f t="shared" si="13"/>
        <v>0.01</v>
      </c>
      <c r="E123">
        <f t="shared" ref="E123:E133" si="25">C123*($U$123/U123)</f>
        <v>844.59</v>
      </c>
      <c r="F123">
        <v>0</v>
      </c>
      <c r="G123">
        <f t="shared" ref="G123:G133" si="26">F123*($U$123/U123)</f>
        <v>0</v>
      </c>
      <c r="H123">
        <v>1.92</v>
      </c>
      <c r="I123">
        <f t="shared" si="24"/>
        <v>422.3</v>
      </c>
      <c r="J123">
        <f t="shared" ref="J123:J133" si="27">I123*($U$123/U123)</f>
        <v>422.3</v>
      </c>
      <c r="K123">
        <f t="shared" si="17"/>
        <v>8.1079679999999996</v>
      </c>
      <c r="L123">
        <f t="shared" ref="L123:L133" si="28">K123*($U$123/U123)</f>
        <v>8.1079679999999996</v>
      </c>
      <c r="M123" s="1">
        <f t="shared" si="19"/>
        <v>1.9199545346909777E-2</v>
      </c>
      <c r="N123" s="1">
        <f t="shared" ref="N123:N133" si="29">L123/J123</f>
        <v>1.9199545346909777E-2</v>
      </c>
      <c r="O123" s="4">
        <f t="shared" si="20"/>
        <v>1.0580667005248011E-6</v>
      </c>
      <c r="P123" s="4">
        <f t="shared" ref="P123:P133" si="30">D123/R123</f>
        <v>1.0580667005248011E-6</v>
      </c>
      <c r="Q123">
        <f t="shared" si="22"/>
        <v>9451.2000000000007</v>
      </c>
      <c r="R123">
        <f t="shared" ref="R123:R133" si="31">Q123*($U$123/U123)</f>
        <v>9451.2000000000007</v>
      </c>
      <c r="S123">
        <f>B123/T123</f>
        <v>3.174200101574403E-5</v>
      </c>
      <c r="T123">
        <v>315.04000000000002</v>
      </c>
      <c r="U123">
        <v>146.07499999999999</v>
      </c>
    </row>
    <row r="124" spans="1:21" x14ac:dyDescent="0.25">
      <c r="A124">
        <v>2026</v>
      </c>
      <c r="B124">
        <v>844.6</v>
      </c>
      <c r="C124">
        <v>7168.51</v>
      </c>
      <c r="D124">
        <f t="shared" si="13"/>
        <v>844.6</v>
      </c>
      <c r="E124">
        <f t="shared" si="25"/>
        <v>7168.51</v>
      </c>
      <c r="F124">
        <v>16.22</v>
      </c>
      <c r="G124">
        <f t="shared" si="26"/>
        <v>16.22</v>
      </c>
      <c r="H124">
        <v>6.4</v>
      </c>
      <c r="I124">
        <f t="shared" si="24"/>
        <v>4006.5550000000003</v>
      </c>
      <c r="J124">
        <f t="shared" si="27"/>
        <v>4006.5550000000003</v>
      </c>
      <c r="K124">
        <f t="shared" si="17"/>
        <v>218.58512000000002</v>
      </c>
      <c r="L124">
        <f t="shared" si="28"/>
        <v>218.58512000000002</v>
      </c>
      <c r="M124" s="1">
        <f t="shared" si="19"/>
        <v>5.4556874921222846E-2</v>
      </c>
      <c r="N124" s="1">
        <f t="shared" si="29"/>
        <v>5.4556874921222846E-2</v>
      </c>
      <c r="O124" s="4">
        <f t="shared" si="20"/>
        <v>8.9364313526324693E-2</v>
      </c>
      <c r="P124" s="4">
        <f t="shared" si="30"/>
        <v>8.9364313526324693E-2</v>
      </c>
      <c r="Q124">
        <f t="shared" si="22"/>
        <v>9451.2000000000007</v>
      </c>
      <c r="R124">
        <f t="shared" si="31"/>
        <v>9451.2000000000007</v>
      </c>
      <c r="S124">
        <f>B124/T124</f>
        <v>2.6809294057897408</v>
      </c>
      <c r="T124">
        <v>315.04000000000002</v>
      </c>
      <c r="U124">
        <v>146.07499999999999</v>
      </c>
    </row>
    <row r="125" spans="1:21" x14ac:dyDescent="0.25">
      <c r="A125">
        <v>2026</v>
      </c>
      <c r="B125">
        <v>7168.52</v>
      </c>
      <c r="C125">
        <v>12598.02</v>
      </c>
      <c r="D125">
        <f t="shared" si="13"/>
        <v>7168.52</v>
      </c>
      <c r="E125">
        <f t="shared" si="25"/>
        <v>12598.02</v>
      </c>
      <c r="F125">
        <v>420.95</v>
      </c>
      <c r="G125">
        <f t="shared" si="26"/>
        <v>420.95</v>
      </c>
      <c r="H125">
        <v>10.88</v>
      </c>
      <c r="I125">
        <f t="shared" si="24"/>
        <v>9883.27</v>
      </c>
      <c r="J125">
        <f t="shared" si="27"/>
        <v>9883.27</v>
      </c>
      <c r="K125">
        <f t="shared" si="17"/>
        <v>716.31479999999999</v>
      </c>
      <c r="L125">
        <f t="shared" si="28"/>
        <v>716.31479999999999</v>
      </c>
      <c r="M125" s="1">
        <f t="shared" si="19"/>
        <v>7.247750997392563E-2</v>
      </c>
      <c r="N125" s="1">
        <f t="shared" si="29"/>
        <v>7.247750997392563E-2</v>
      </c>
      <c r="O125" s="4">
        <f t="shared" si="20"/>
        <v>0.75847723040460469</v>
      </c>
      <c r="P125" s="4">
        <f t="shared" si="30"/>
        <v>0.75847723040460469</v>
      </c>
      <c r="Q125">
        <f t="shared" si="22"/>
        <v>9451.2000000000007</v>
      </c>
      <c r="R125">
        <f t="shared" si="31"/>
        <v>9451.2000000000007</v>
      </c>
      <c r="S125">
        <f>B125/T125</f>
        <v>22.75431691213814</v>
      </c>
      <c r="T125">
        <v>315.04000000000002</v>
      </c>
      <c r="U125">
        <v>146.07499999999999</v>
      </c>
    </row>
    <row r="126" spans="1:21" x14ac:dyDescent="0.25">
      <c r="A126">
        <v>2026</v>
      </c>
      <c r="B126">
        <v>12598.03</v>
      </c>
      <c r="C126">
        <v>14644.64</v>
      </c>
      <c r="D126">
        <f t="shared" si="13"/>
        <v>12598.03</v>
      </c>
      <c r="E126">
        <f t="shared" si="25"/>
        <v>14644.64</v>
      </c>
      <c r="F126">
        <v>1011.68</v>
      </c>
      <c r="G126">
        <f t="shared" si="26"/>
        <v>1011.68</v>
      </c>
      <c r="H126">
        <v>16</v>
      </c>
      <c r="I126">
        <f t="shared" si="24"/>
        <v>13621.334999999999</v>
      </c>
      <c r="J126">
        <f t="shared" si="27"/>
        <v>13621.334999999999</v>
      </c>
      <c r="K126">
        <f t="shared" si="17"/>
        <v>1175.4087999999997</v>
      </c>
      <c r="L126">
        <f t="shared" si="28"/>
        <v>1175.4087999999997</v>
      </c>
      <c r="M126" s="1">
        <f t="shared" si="19"/>
        <v>8.6291747468218036E-2</v>
      </c>
      <c r="N126" s="1">
        <f t="shared" si="29"/>
        <v>8.6291747468218036E-2</v>
      </c>
      <c r="O126" s="4">
        <f t="shared" si="20"/>
        <v>1.332955603521246</v>
      </c>
      <c r="P126" s="4">
        <f t="shared" si="30"/>
        <v>1.332955603521246</v>
      </c>
      <c r="Q126">
        <f t="shared" si="22"/>
        <v>9451.2000000000007</v>
      </c>
      <c r="R126">
        <f t="shared" si="31"/>
        <v>9451.2000000000007</v>
      </c>
      <c r="S126">
        <f>B126/T126</f>
        <v>39.98866810563738</v>
      </c>
      <c r="T126">
        <v>315.04000000000002</v>
      </c>
      <c r="U126">
        <v>146.07499999999999</v>
      </c>
    </row>
    <row r="127" spans="1:21" x14ac:dyDescent="0.25">
      <c r="A127">
        <v>2026</v>
      </c>
      <c r="B127">
        <v>14644.65</v>
      </c>
      <c r="C127">
        <v>17533.63</v>
      </c>
      <c r="D127">
        <f t="shared" si="13"/>
        <v>14644.65</v>
      </c>
      <c r="E127">
        <f t="shared" si="25"/>
        <v>17533.63</v>
      </c>
      <c r="F127">
        <v>1339.14</v>
      </c>
      <c r="G127">
        <f t="shared" si="26"/>
        <v>1339.14</v>
      </c>
      <c r="H127">
        <v>17.920000000000002</v>
      </c>
      <c r="I127">
        <f t="shared" si="24"/>
        <v>16089.14</v>
      </c>
      <c r="J127">
        <f t="shared" si="27"/>
        <v>16089.14</v>
      </c>
      <c r="K127">
        <f t="shared" si="17"/>
        <v>1597.992608</v>
      </c>
      <c r="L127">
        <f t="shared" si="28"/>
        <v>1597.992608</v>
      </c>
      <c r="M127" s="1">
        <f t="shared" si="19"/>
        <v>9.9321194793506679E-2</v>
      </c>
      <c r="N127" s="1">
        <f t="shared" si="29"/>
        <v>9.9321194793506679E-2</v>
      </c>
      <c r="O127" s="4">
        <f t="shared" si="20"/>
        <v>1.5495016505840526</v>
      </c>
      <c r="P127" s="4">
        <f t="shared" si="30"/>
        <v>1.5495016505840526</v>
      </c>
      <c r="Q127">
        <f t="shared" si="22"/>
        <v>9451.2000000000007</v>
      </c>
      <c r="R127">
        <f t="shared" si="31"/>
        <v>9451.2000000000007</v>
      </c>
      <c r="S127">
        <f>B127/T127</f>
        <v>46.485049517521581</v>
      </c>
      <c r="T127">
        <v>315.04000000000002</v>
      </c>
      <c r="U127">
        <v>146.07499999999999</v>
      </c>
    </row>
    <row r="128" spans="1:21" x14ac:dyDescent="0.25">
      <c r="A128">
        <v>2026</v>
      </c>
      <c r="B128">
        <v>17533.64</v>
      </c>
      <c r="C128">
        <v>35362.83</v>
      </c>
      <c r="D128">
        <f t="shared" si="13"/>
        <v>17533.64</v>
      </c>
      <c r="E128">
        <f t="shared" si="25"/>
        <v>35362.83</v>
      </c>
      <c r="F128">
        <v>1856.84</v>
      </c>
      <c r="G128">
        <f t="shared" si="26"/>
        <v>1856.84</v>
      </c>
      <c r="H128">
        <v>21.36</v>
      </c>
      <c r="I128">
        <f t="shared" si="24"/>
        <v>26448.235000000001</v>
      </c>
      <c r="J128">
        <f t="shared" si="27"/>
        <v>26448.235000000001</v>
      </c>
      <c r="K128">
        <f t="shared" si="17"/>
        <v>3760.997492</v>
      </c>
      <c r="L128">
        <f t="shared" si="28"/>
        <v>3760.997492</v>
      </c>
      <c r="M128" s="1">
        <f t="shared" si="19"/>
        <v>0.1422022109225814</v>
      </c>
      <c r="N128" s="1">
        <f t="shared" si="29"/>
        <v>0.1422022109225814</v>
      </c>
      <c r="O128" s="4">
        <f t="shared" si="20"/>
        <v>1.855176062298967</v>
      </c>
      <c r="P128" s="4">
        <f t="shared" si="30"/>
        <v>1.855176062298967</v>
      </c>
      <c r="Q128">
        <f t="shared" si="22"/>
        <v>9451.2000000000007</v>
      </c>
      <c r="R128">
        <f t="shared" si="31"/>
        <v>9451.2000000000007</v>
      </c>
      <c r="S128">
        <f>B128/T128</f>
        <v>55.655281868969013</v>
      </c>
      <c r="T128">
        <v>315.04000000000002</v>
      </c>
      <c r="U128">
        <v>146.07499999999999</v>
      </c>
    </row>
    <row r="129" spans="1:21" x14ac:dyDescent="0.25">
      <c r="A129">
        <v>2026</v>
      </c>
      <c r="B129">
        <v>35362.839999999997</v>
      </c>
      <c r="C129">
        <v>55736.68</v>
      </c>
      <c r="D129">
        <f t="shared" si="13"/>
        <v>35362.839999999997</v>
      </c>
      <c r="E129">
        <f t="shared" si="25"/>
        <v>55736.68</v>
      </c>
      <c r="F129">
        <v>5665.16</v>
      </c>
      <c r="G129">
        <f t="shared" si="26"/>
        <v>5665.16</v>
      </c>
      <c r="H129">
        <v>23.52</v>
      </c>
      <c r="I129">
        <f t="shared" si="24"/>
        <v>45549.759999999995</v>
      </c>
      <c r="J129">
        <f t="shared" si="27"/>
        <v>45549.759999999995</v>
      </c>
      <c r="K129">
        <f t="shared" si="17"/>
        <v>8061.123583999999</v>
      </c>
      <c r="L129">
        <f t="shared" si="28"/>
        <v>8061.123583999999</v>
      </c>
      <c r="M129" s="1">
        <f t="shared" si="19"/>
        <v>0.17697400785426751</v>
      </c>
      <c r="N129" s="1">
        <f t="shared" si="29"/>
        <v>0.17697400785426751</v>
      </c>
      <c r="O129" s="4">
        <f t="shared" si="20"/>
        <v>3.741624343998645</v>
      </c>
      <c r="P129" s="4">
        <f t="shared" si="30"/>
        <v>3.741624343998645</v>
      </c>
      <c r="Q129">
        <f t="shared" si="22"/>
        <v>9451.2000000000007</v>
      </c>
      <c r="R129">
        <f t="shared" si="31"/>
        <v>9451.2000000000007</v>
      </c>
      <c r="S129">
        <f>B129/T129</f>
        <v>112.24873031995935</v>
      </c>
      <c r="T129">
        <v>315.04000000000002</v>
      </c>
      <c r="U129">
        <v>146.07499999999999</v>
      </c>
    </row>
    <row r="130" spans="1:21" x14ac:dyDescent="0.25">
      <c r="A130">
        <v>2026</v>
      </c>
      <c r="B130">
        <v>55736.69</v>
      </c>
      <c r="C130">
        <v>106410.5</v>
      </c>
      <c r="D130">
        <f t="shared" si="13"/>
        <v>55736.69</v>
      </c>
      <c r="E130">
        <f t="shared" si="25"/>
        <v>106410.5</v>
      </c>
      <c r="F130">
        <v>10457.09</v>
      </c>
      <c r="G130">
        <f t="shared" si="26"/>
        <v>10457.09</v>
      </c>
      <c r="H130">
        <v>30</v>
      </c>
      <c r="I130">
        <f t="shared" si="24"/>
        <v>81073.595000000001</v>
      </c>
      <c r="J130">
        <f t="shared" si="27"/>
        <v>81073.595000000001</v>
      </c>
      <c r="K130">
        <f t="shared" si="17"/>
        <v>18058.161499999998</v>
      </c>
      <c r="L130">
        <f t="shared" si="28"/>
        <v>18058.161499999998</v>
      </c>
      <c r="M130" s="1">
        <f t="shared" si="19"/>
        <v>0.22273789018483758</v>
      </c>
      <c r="N130" s="1">
        <f t="shared" si="29"/>
        <v>0.22273789018483758</v>
      </c>
      <c r="O130" s="4">
        <f t="shared" si="20"/>
        <v>5.897313568647367</v>
      </c>
      <c r="P130" s="4">
        <f t="shared" si="30"/>
        <v>5.897313568647367</v>
      </c>
      <c r="Q130">
        <f t="shared" si="22"/>
        <v>9451.2000000000007</v>
      </c>
      <c r="R130">
        <f t="shared" si="31"/>
        <v>9451.2000000000007</v>
      </c>
      <c r="S130">
        <f>B130/T130</f>
        <v>176.91940705942102</v>
      </c>
      <c r="T130">
        <v>315.04000000000002</v>
      </c>
      <c r="U130">
        <v>146.07499999999999</v>
      </c>
    </row>
    <row r="131" spans="1:21" x14ac:dyDescent="0.25">
      <c r="A131">
        <v>2026</v>
      </c>
      <c r="B131">
        <v>106410.51</v>
      </c>
      <c r="C131">
        <v>141880.66</v>
      </c>
      <c r="D131">
        <f t="shared" ref="D131:D133" si="32">B131*($U$123/U131)</f>
        <v>106410.51</v>
      </c>
      <c r="E131">
        <f t="shared" si="25"/>
        <v>141880.66</v>
      </c>
      <c r="F131">
        <v>25659.23</v>
      </c>
      <c r="G131">
        <f t="shared" si="26"/>
        <v>25659.23</v>
      </c>
      <c r="H131">
        <v>32</v>
      </c>
      <c r="I131">
        <f t="shared" ref="I131:I132" si="33">(B131+C131)/2</f>
        <v>124145.58499999999</v>
      </c>
      <c r="J131">
        <f t="shared" si="27"/>
        <v>124145.58499999999</v>
      </c>
      <c r="K131">
        <f t="shared" ref="K131:K133" si="34">F131+(I131-B131)*(H131/100)</f>
        <v>31334.453999999998</v>
      </c>
      <c r="L131">
        <f t="shared" si="28"/>
        <v>31334.453999999998</v>
      </c>
      <c r="M131" s="1">
        <f t="shared" ref="M131:M133" si="35">K131/I131</f>
        <v>0.25240087273341216</v>
      </c>
      <c r="N131" s="1">
        <f t="shared" si="29"/>
        <v>0.25240087273341216</v>
      </c>
      <c r="O131" s="4">
        <f t="shared" ref="O131:O133" si="36">B131/Q131</f>
        <v>11.258941721686133</v>
      </c>
      <c r="P131" s="4">
        <f t="shared" si="30"/>
        <v>11.258941721686133</v>
      </c>
      <c r="Q131">
        <f t="shared" ref="Q131:Q133" si="37">T131*30</f>
        <v>9451.2000000000007</v>
      </c>
      <c r="R131">
        <f t="shared" si="31"/>
        <v>9451.2000000000007</v>
      </c>
      <c r="S131">
        <f>B131/T131</f>
        <v>337.76825165058403</v>
      </c>
      <c r="T131">
        <v>315.04000000000002</v>
      </c>
      <c r="U131">
        <v>146.07499999999999</v>
      </c>
    </row>
    <row r="132" spans="1:21" x14ac:dyDescent="0.25">
      <c r="A132">
        <v>2026</v>
      </c>
      <c r="B132">
        <v>141880.67000000001</v>
      </c>
      <c r="C132">
        <v>425641.99</v>
      </c>
      <c r="D132">
        <f t="shared" si="32"/>
        <v>141880.67000000001</v>
      </c>
      <c r="E132">
        <f t="shared" si="25"/>
        <v>425641.99</v>
      </c>
      <c r="F132">
        <v>37009.69</v>
      </c>
      <c r="G132">
        <f t="shared" si="26"/>
        <v>37009.69</v>
      </c>
      <c r="H132">
        <v>34</v>
      </c>
      <c r="I132">
        <f t="shared" si="33"/>
        <v>283761.33</v>
      </c>
      <c r="J132">
        <f t="shared" si="27"/>
        <v>283761.33</v>
      </c>
      <c r="K132">
        <f t="shared" si="34"/>
        <v>85249.114400000006</v>
      </c>
      <c r="L132">
        <f t="shared" si="28"/>
        <v>85249.114400000006</v>
      </c>
      <c r="M132" s="1">
        <f t="shared" si="35"/>
        <v>0.30042541173598247</v>
      </c>
      <c r="N132" s="1">
        <f t="shared" si="29"/>
        <v>0.30042541173598247</v>
      </c>
      <c r="O132" s="4">
        <f t="shared" si="36"/>
        <v>15.011921237514812</v>
      </c>
      <c r="P132" s="4">
        <f t="shared" si="30"/>
        <v>15.011921237514812</v>
      </c>
      <c r="Q132">
        <f t="shared" si="37"/>
        <v>9451.2000000000007</v>
      </c>
      <c r="R132">
        <f t="shared" si="31"/>
        <v>9451.2000000000007</v>
      </c>
      <c r="S132">
        <f>B132/T132</f>
        <v>450.3576371254444</v>
      </c>
      <c r="T132">
        <v>315.04000000000002</v>
      </c>
      <c r="U132">
        <v>146.07499999999999</v>
      </c>
    </row>
    <row r="133" spans="1:21" x14ac:dyDescent="0.25">
      <c r="A133" s="2">
        <v>2026</v>
      </c>
      <c r="B133" s="2">
        <v>425642</v>
      </c>
      <c r="C133" s="2"/>
      <c r="D133">
        <f t="shared" si="32"/>
        <v>425642</v>
      </c>
      <c r="E133">
        <f t="shared" si="25"/>
        <v>0</v>
      </c>
      <c r="F133" s="2">
        <v>133488.54</v>
      </c>
      <c r="G133">
        <f t="shared" si="26"/>
        <v>133488.54</v>
      </c>
      <c r="H133" s="2">
        <v>35</v>
      </c>
      <c r="I133" s="2">
        <f>B133*1.5</f>
        <v>638463</v>
      </c>
      <c r="J133">
        <f t="shared" si="27"/>
        <v>638463</v>
      </c>
      <c r="K133" s="2">
        <f t="shared" si="34"/>
        <v>207975.89</v>
      </c>
      <c r="L133">
        <f t="shared" si="28"/>
        <v>207975.89</v>
      </c>
      <c r="M133" s="3">
        <f t="shared" si="35"/>
        <v>0.32574462419905303</v>
      </c>
      <c r="N133" s="1">
        <f t="shared" si="29"/>
        <v>0.32574462419905303</v>
      </c>
      <c r="O133" s="4">
        <f t="shared" si="36"/>
        <v>45.035762654477736</v>
      </c>
      <c r="P133" s="4">
        <f t="shared" si="30"/>
        <v>45.035762654477736</v>
      </c>
      <c r="Q133">
        <f t="shared" si="37"/>
        <v>9451.2000000000007</v>
      </c>
      <c r="R133">
        <f t="shared" si="31"/>
        <v>9451.2000000000007</v>
      </c>
      <c r="S133" s="2">
        <f>B133/T133</f>
        <v>1351.0728796343321</v>
      </c>
      <c r="T133" s="2">
        <v>315.04000000000002</v>
      </c>
      <c r="U133">
        <v>146.07499999999999</v>
      </c>
    </row>
  </sheetData>
  <autoFilter ref="A1:U133" xr:uid="{5A526073-7743-4701-AC82-D7B252944A1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05c924-0ba6-4b9e-bf0a-7d2b0c5af0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8EB4B1183BC4EA01E017CDDE25F06" ma:contentTypeVersion="10" ma:contentTypeDescription="Create a new document." ma:contentTypeScope="" ma:versionID="a805036082054f9c613853b363c1e2e7">
  <xsd:schema xmlns:xsd="http://www.w3.org/2001/XMLSchema" xmlns:xs="http://www.w3.org/2001/XMLSchema" xmlns:p="http://schemas.microsoft.com/office/2006/metadata/properties" xmlns:ns3="ce05c924-0ba6-4b9e-bf0a-7d2b0c5af04c" targetNamespace="http://schemas.microsoft.com/office/2006/metadata/properties" ma:root="true" ma:fieldsID="ed63133186127e53cd731e924b57e4e1" ns3:_="">
    <xsd:import namespace="ce05c924-0ba6-4b9e-bf0a-7d2b0c5af0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5c924-0ba6-4b9e-bf0a-7d2b0c5af0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F90CC5-3BCF-47D7-8DC5-FDF88DCF9EF4}">
  <ds:schemaRefs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ce05c924-0ba6-4b9e-bf0a-7d2b0c5af04c"/>
  </ds:schemaRefs>
</ds:datastoreItem>
</file>

<file path=customXml/itemProps2.xml><?xml version="1.0" encoding="utf-8"?>
<ds:datastoreItem xmlns:ds="http://schemas.openxmlformats.org/officeDocument/2006/customXml" ds:itemID="{AF82E637-9B7A-46C3-AD8F-C7006C75A9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5c924-0ba6-4b9e-bf0a-7d2b0c5af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6C0886-490D-4BE8-BF14-6BCE49C211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Reyes Rodríguez</dc:creator>
  <cp:lastModifiedBy>Diego Reyes Rodríguez</cp:lastModifiedBy>
  <dcterms:created xsi:type="dcterms:W3CDTF">2026-10-13T19:18:40Z</dcterms:created>
  <dcterms:modified xsi:type="dcterms:W3CDTF">2026-10-22T19:12:02Z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0x0101000FA8EB4B1183BC4EA01E017CDDE25F06</vt:lpwstr>
  </property>
</Properties>
</file>